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FBC3F306-66D6-4B7F-8BB4-AB595FCC9602}" xr6:coauthVersionLast="47" xr6:coauthVersionMax="47" xr10:uidLastSave="{00000000-0000-0000-0000-000000000000}"/>
  <bookViews>
    <workbookView xWindow="-108" yWindow="-108" windowWidth="23256" windowHeight="12456" firstSheet="1" activeTab="3" xr2:uid="{29389193-7256-4448-99EA-708D1049F25F}"/>
  </bookViews>
  <sheets>
    <sheet name="Sheet1" sheetId="5" r:id="rId1"/>
    <sheet name="Sheet2" sheetId="7" r:id="rId2"/>
    <sheet name="Sheet3" sheetId="8" r:id="rId3"/>
    <sheet name="pivot table" sheetId="4" r:id="rId4"/>
    <sheet name="data analysis" sheetId="2" r:id="rId5"/>
    <sheet name="trading_raw_data2" sheetId="1" r:id="rId6"/>
    <sheet name="functions" sheetId="6" r:id="rId7"/>
    <sheet name="data cleaning " sheetId="3" r:id="rId8"/>
  </sheets>
  <calcPr calcId="191029"/>
  <pivotCaches>
    <pivotCache cacheId="4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6" i="6" l="1"/>
  <c r="G12" i="6"/>
  <c r="C6" i="6"/>
  <c r="C7" i="6"/>
  <c r="C8" i="6"/>
  <c r="C9" i="6"/>
  <c r="C10" i="6"/>
  <c r="C11" i="6"/>
  <c r="C12" i="6"/>
  <c r="C13" i="6"/>
  <c r="C5" i="6"/>
  <c r="D35" i="2"/>
  <c r="D38" i="2"/>
  <c r="C38" i="2"/>
  <c r="D37" i="2"/>
  <c r="C37" i="2"/>
  <c r="D36" i="2"/>
  <c r="C36" i="2"/>
  <c r="C35" i="2"/>
  <c r="X16" i="3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<sst xmlns="http://schemas.openxmlformats.org/spreadsheetml/2006/main" count="869" uniqueCount="114">
  <si>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</si>
  <si>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</si>
  <si>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</si>
  <si>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</si>
  <si>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</si>
  <si>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</si>
  <si>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</si>
  <si>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</si>
  <si>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</si>
  <si>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</si>
  <si>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</si>
  <si>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</si>
  <si>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</si>
  <si>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</si>
  <si>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</si>
  <si>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</si>
  <si>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</si>
  <si>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</si>
  <si>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</si>
  <si>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</si>
  <si>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</si>
  <si>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</si>
  <si>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</si>
  <si>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</si>
  <si>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</si>
  <si>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</si>
  <si>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</si>
  <si>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</si>
  <si>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</si>
  <si>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</si>
  <si>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</si>
  <si>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</si>
  <si>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</si>
  <si>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</si>
  <si>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</si>
  <si>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</si>
  <si>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</si>
  <si>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</si>
  <si>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</si>
  <si>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</si>
  <si>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</si>
  <si>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</si>
  <si>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</si>
  <si>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</si>
  <si>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</si>
  <si>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</si>
  <si>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</si>
  <si>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</si>
  <si>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</si>
  <si>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</si>
  <si>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</si>
  <si>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</si>
  <si>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</si>
  <si>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</si>
  <si>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</si>
  <si>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</si>
  <si>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</si>
  <si>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</si>
  <si>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</si>
  <si>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</si>
  <si>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</si>
  <si>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</si>
  <si>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</si>
  <si>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</si>
  <si>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</si>
  <si>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</si>
  <si>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</si>
  <si>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</si>
  <si>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</si>
  <si>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</si>
  <si>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</si>
  <si>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</si>
  <si>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result column</t>
  </si>
  <si>
    <t>session rows</t>
  </si>
  <si>
    <t>GOOD</t>
  </si>
  <si>
    <t>REVIEW</t>
  </si>
  <si>
    <t>LONDON WIN RATE</t>
  </si>
  <si>
    <t>NEW YORK WIN RATE</t>
  </si>
  <si>
    <t>avg profit london</t>
  </si>
  <si>
    <t>avg profit new york</t>
  </si>
  <si>
    <t>avg  loss</t>
  </si>
  <si>
    <t>avg win</t>
  </si>
  <si>
    <t>Sum of Profit</t>
  </si>
  <si>
    <t>London Total</t>
  </si>
  <si>
    <t>New York Total</t>
  </si>
  <si>
    <t>name</t>
  </si>
  <si>
    <t>age</t>
  </si>
  <si>
    <t>country</t>
  </si>
  <si>
    <t>aba</t>
  </si>
  <si>
    <t>sisa</t>
  </si>
  <si>
    <t>kola</t>
  </si>
  <si>
    <t xml:space="preserve">jihan </t>
  </si>
  <si>
    <t>hana</t>
  </si>
  <si>
    <t>bila</t>
  </si>
  <si>
    <t>oha</t>
  </si>
  <si>
    <t>fifa</t>
  </si>
  <si>
    <t>fofo</t>
  </si>
  <si>
    <t>colum</t>
  </si>
  <si>
    <t>row</t>
  </si>
  <si>
    <t xml:space="preserve">h look up </t>
  </si>
  <si>
    <t>v look up</t>
  </si>
  <si>
    <t>Calculated Field</t>
  </si>
  <si>
    <t>Solve Order</t>
  </si>
  <si>
    <t>Field</t>
  </si>
  <si>
    <t>Formula</t>
  </si>
  <si>
    <t>Field1</t>
  </si>
  <si>
    <t>= 0</t>
  </si>
  <si>
    <t>Calculated Item</t>
  </si>
  <si>
    <t>Item</t>
  </si>
  <si>
    <t>Note:</t>
  </si>
  <si>
    <t>When a cell is updated by more than one formula,</t>
  </si>
  <si>
    <t>the value is set by the formula with the last solve order.</t>
  </si>
  <si>
    <t>To change the solve order for multiple calculated items or fields,</t>
  </si>
  <si>
    <t>on the Options tab, in the Calculations group, click Fields, Items, &amp; Sets, and then click Solve Order.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</si>
</sst>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1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1" fontId="0" fillId="33" borderId="10" xfId="0" applyNumberFormat="1" applyFill="1" applyBorder="1"/>
    <xf numFmtId="0" fontId="16" fillId="33" borderId="10" xfId="0" applyFont="1" applyFill="1" applyBorder="1"/>
    <xf numFmtId="0" fontId="0" fillId="0" borderId="0" xfId="0" applyAlignment="1">
      <alignment horizontal="center"/>
    </xf>
    <xf numFmtId="0" fontId="16" fillId="34" borderId="10" xfId="0" applyFont="1" applyFill="1" applyBorder="1"/>
    <xf numFmtId="0" fontId="0" fillId="0" borderId="0" xfId="0" applyAlignment="1">
      <alignment horizontal="center"/>
    </xf>
    <xf numFmtId="0" fontId="0" fillId="34" borderId="10" xfId="0" applyFill="1" applyBorder="1" applyAlignment="1">
      <alignment horizontal="center"/>
    </xf>
    <xf numFmtId="0" fontId="18" fillId="0" borderId="0" xfId="0" applyFont="1"/>
    <xf numFmtId="0" fontId="16" fillId="0" borderId="12" xfId="0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06/relationships/rdRichValue" Target="richData/rdrichvalue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session rows" colHeaderCaption="result column">
  <location ref="A3:H10" firstHeaderRow="1" firstDataRow="3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9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Sum of Profit" fld="5" baseField="0" baseItem="0"/>
  </dataFields>
  <formats count="1">
    <format dxfId="13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74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74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75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75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74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74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74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75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75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75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75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75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75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75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74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74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74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75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74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74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75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74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75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75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75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75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75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75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75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75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75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75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75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75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75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74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74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74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75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75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75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75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74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75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75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75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75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75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75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75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75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75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75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74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75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74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25E4-1794-42C9-9526-8A6F715B88C4}">
  <dimension ref="A1:C13"/>
  <sheetViews>
    <sheetView workbookViewId="0"/>
  </sheetViews>
  <sheetFormatPr defaultRowHeight="14.4" x14ac:dyDescent="0.3"/>
  <cols>
    <col min="1" max="1" width="15.33203125" bestFit="1" customWidth="1"/>
    <col min="2" max="2" width="5.88671875" bestFit="1" customWidth="1"/>
    <col min="3" max="3" width="7.88671875" bestFit="1" customWidth="1"/>
  </cols>
  <sheetData>
    <row r="1" spans="1:3" x14ac:dyDescent="0.3">
      <c r="A1" s="29" t="s">
        <v>101</v>
      </c>
    </row>
    <row r="2" spans="1:3" x14ac:dyDescent="0.3">
      <c r="A2" s="30" t="s">
        <v>102</v>
      </c>
      <c r="B2" s="30" t="s">
        <v>103</v>
      </c>
      <c r="C2" s="30" t="s">
        <v>104</v>
      </c>
    </row>
    <row r="3" spans="1:3" x14ac:dyDescent="0.3">
      <c r="A3">
        <v>1</v>
      </c>
      <c r="B3" t="s">
        <v>105</v>
      </c>
      <c r="C3" t="s">
        <v>106</v>
      </c>
    </row>
    <row r="5" spans="1:3" x14ac:dyDescent="0.3">
      <c r="A5" s="29" t="s">
        <v>107</v>
      </c>
    </row>
    <row r="6" spans="1:3" x14ac:dyDescent="0.3">
      <c r="A6" s="30" t="s">
        <v>102</v>
      </c>
      <c r="B6" s="30" t="s">
        <v>108</v>
      </c>
      <c r="C6" s="30" t="s">
        <v>104</v>
      </c>
    </row>
    <row r="9" spans="1:3" x14ac:dyDescent="0.3">
      <c r="A9" s="29" t="s">
        <v>109</v>
      </c>
      <c r="B9" t="s">
        <v>110</v>
      </c>
    </row>
    <row r="10" spans="1:3" x14ac:dyDescent="0.3">
      <c r="B10" t="s">
        <v>111</v>
      </c>
    </row>
    <row r="12" spans="1:3" x14ac:dyDescent="0.3">
      <c r="B12" t="s">
        <v>112</v>
      </c>
    </row>
    <row r="13" spans="1:3" x14ac:dyDescent="0.3">
      <c r="B13" t="s">
        <v>113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ACAA-D0C9-4E0D-B6D1-3EF28EC79FD0}">
  <dimension ref="A1:C13"/>
  <sheetViews>
    <sheetView workbookViewId="0"/>
  </sheetViews>
  <sheetFormatPr defaultRowHeight="14.4" x14ac:dyDescent="0.3"/>
  <cols>
    <col min="1" max="1" width="15.33203125" bestFit="1" customWidth="1"/>
    <col min="2" max="2" width="5.88671875" bestFit="1" customWidth="1"/>
    <col min="3" max="3" width="7.88671875" bestFit="1" customWidth="1"/>
  </cols>
  <sheetData>
    <row r="1" spans="1:3" x14ac:dyDescent="0.3">
      <c r="A1" s="29"/>
    </row>
    <row r="2" spans="1:3" x14ac:dyDescent="0.3">
      <c r="A2" s="30" t="s">
        <v>102</v>
      </c>
      <c r="B2" s="30" t="s">
        <v>103</v>
      </c>
      <c r="C2" s="30" t="s">
        <v>104</v>
      </c>
    </row>
    <row r="3" spans="1:3" x14ac:dyDescent="0.3">
      <c r="A3">
        <v>1</v>
      </c>
      <c r="B3" t="s">
        <v>105</v>
      </c>
      <c r="C3" t="s">
        <v>106</v>
      </c>
    </row>
    <row r="5" spans="1:3" x14ac:dyDescent="0.3">
      <c r="A5" s="29" t="s">
        <v>107</v>
      </c>
    </row>
    <row r="6" spans="1:3" x14ac:dyDescent="0.3">
      <c r="A6" s="30" t="s">
        <v>102</v>
      </c>
      <c r="B6" s="30" t="s">
        <v>108</v>
      </c>
      <c r="C6" s="30" t="s">
        <v>104</v>
      </c>
    </row>
    <row r="9" spans="1:3" x14ac:dyDescent="0.3">
      <c r="A9" s="29" t="s">
        <v>109</v>
      </c>
      <c r="B9" t="s">
        <v>110</v>
      </c>
    </row>
    <row r="10" spans="1:3" x14ac:dyDescent="0.3">
      <c r="B10" t="s">
        <v>111</v>
      </c>
    </row>
    <row r="12" spans="1:3" x14ac:dyDescent="0.3">
      <c r="B12" t="s">
        <v>112</v>
      </c>
    </row>
    <row r="13" spans="1:3" x14ac:dyDescent="0.3">
      <c r="B13" t="s">
        <v>113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H10"/>
  <sheetViews>
    <sheetView tabSelected="1" zoomScale="110" zoomScaleNormal="110" workbookViewId="0">
      <selection activeCell="H19" sqref="H19"/>
    </sheetView>
  </sheetViews>
  <sheetFormatPr defaultRowHeight="14.4" x14ac:dyDescent="0.3"/>
  <cols>
    <col min="1" max="1" width="13.77734375" bestFit="1" customWidth="1"/>
    <col min="2" max="2" width="14.5546875" bestFit="1" customWidth="1"/>
    <col min="3" max="3" width="5" bestFit="1" customWidth="1"/>
    <col min="4" max="4" width="11.6640625" bestFit="1" customWidth="1"/>
    <col min="5" max="5" width="10.6640625" bestFit="1" customWidth="1"/>
    <col min="6" max="6" width="5" bestFit="1" customWidth="1"/>
    <col min="7" max="7" width="13.44140625" bestFit="1" customWidth="1"/>
    <col min="8" max="8" width="10.6640625" bestFit="1" customWidth="1"/>
    <col min="9" max="9" width="12.33203125" bestFit="1" customWidth="1"/>
    <col min="10" max="10" width="11.77734375" bestFit="1" customWidth="1"/>
    <col min="11" max="11" width="12.33203125" bestFit="1" customWidth="1"/>
    <col min="12" max="12" width="20.33203125" bestFit="1" customWidth="1"/>
    <col min="13" max="13" width="20.88671875" bestFit="1" customWidth="1"/>
    <col min="14" max="14" width="16.21875" bestFit="1" customWidth="1"/>
    <col min="15" max="15" width="16.88671875" bestFit="1" customWidth="1"/>
  </cols>
  <sheetData>
    <row r="3" spans="1:8" x14ac:dyDescent="0.3">
      <c r="A3" s="19" t="s">
        <v>82</v>
      </c>
      <c r="B3" s="19" t="s">
        <v>72</v>
      </c>
    </row>
    <row r="4" spans="1:8" x14ac:dyDescent="0.3">
      <c r="B4" t="s">
        <v>10</v>
      </c>
      <c r="D4" t="s">
        <v>83</v>
      </c>
      <c r="E4" t="s">
        <v>16</v>
      </c>
      <c r="G4" t="s">
        <v>84</v>
      </c>
      <c r="H4" t="s">
        <v>71</v>
      </c>
    </row>
    <row r="5" spans="1:8" x14ac:dyDescent="0.3">
      <c r="A5" s="19" t="s">
        <v>73</v>
      </c>
      <c r="B5" t="s">
        <v>17</v>
      </c>
      <c r="C5" t="s">
        <v>12</v>
      </c>
      <c r="E5" t="s">
        <v>17</v>
      </c>
      <c r="F5" t="s">
        <v>12</v>
      </c>
    </row>
    <row r="6" spans="1:8" x14ac:dyDescent="0.3">
      <c r="A6" s="20" t="s">
        <v>9</v>
      </c>
      <c r="B6" s="22">
        <v>-450</v>
      </c>
      <c r="C6" s="22">
        <v>2425</v>
      </c>
      <c r="D6" s="22">
        <v>1975</v>
      </c>
      <c r="E6" s="22">
        <v>-350</v>
      </c>
      <c r="F6" s="22">
        <v>1275</v>
      </c>
      <c r="G6" s="22">
        <v>925</v>
      </c>
      <c r="H6" s="22">
        <v>2900</v>
      </c>
    </row>
    <row r="7" spans="1:8" x14ac:dyDescent="0.3">
      <c r="A7" s="20" t="s">
        <v>15</v>
      </c>
      <c r="B7" s="22">
        <v>-475</v>
      </c>
      <c r="C7" s="22">
        <v>3550</v>
      </c>
      <c r="D7" s="22">
        <v>3075</v>
      </c>
      <c r="E7" s="22">
        <v>-675</v>
      </c>
      <c r="F7" s="22">
        <v>4425</v>
      </c>
      <c r="G7" s="22">
        <v>3750</v>
      </c>
      <c r="H7" s="22">
        <v>6825</v>
      </c>
    </row>
    <row r="8" spans="1:8" x14ac:dyDescent="0.3">
      <c r="A8" s="20" t="s">
        <v>13</v>
      </c>
      <c r="B8" s="22">
        <v>-775</v>
      </c>
      <c r="C8" s="22">
        <v>2050</v>
      </c>
      <c r="D8" s="22">
        <v>1275</v>
      </c>
      <c r="E8" s="22">
        <v>-1250</v>
      </c>
      <c r="F8" s="22">
        <v>1900</v>
      </c>
      <c r="G8" s="22">
        <v>650</v>
      </c>
      <c r="H8" s="22">
        <v>1925</v>
      </c>
    </row>
    <row r="9" spans="1:8" x14ac:dyDescent="0.3">
      <c r="A9" s="20" t="s">
        <v>18</v>
      </c>
      <c r="B9" s="22">
        <v>-1175</v>
      </c>
      <c r="C9" s="22">
        <v>1300</v>
      </c>
      <c r="D9" s="22">
        <v>125</v>
      </c>
      <c r="E9" s="22">
        <v>-250</v>
      </c>
      <c r="F9" s="22">
        <v>700</v>
      </c>
      <c r="G9" s="22">
        <v>450</v>
      </c>
      <c r="H9" s="22">
        <v>575</v>
      </c>
    </row>
    <row r="10" spans="1:8" x14ac:dyDescent="0.3">
      <c r="A10" s="20" t="s">
        <v>71</v>
      </c>
      <c r="B10" s="21">
        <v>-2875</v>
      </c>
      <c r="C10" s="21">
        <v>9325</v>
      </c>
      <c r="D10" s="21">
        <v>6450</v>
      </c>
      <c r="E10" s="21">
        <v>-2525</v>
      </c>
      <c r="F10" s="21">
        <v>8300</v>
      </c>
      <c r="G10" s="21">
        <v>5775</v>
      </c>
      <c r="H10" s="21">
        <v>12225</v>
      </c>
    </row>
  </sheetData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8"/>
  <sheetViews>
    <sheetView topLeftCell="B10" workbookViewId="0">
      <selection activeCell="C41" sqref="C41"/>
    </sheetView>
  </sheetViews>
  <sheetFormatPr defaultRowHeight="14.4" x14ac:dyDescent="0.3"/>
  <cols>
    <col min="2" max="2" width="28.88671875" customWidth="1"/>
    <col min="3" max="3" width="16.77734375" bestFit="1" customWidth="1"/>
    <col min="4" max="4" width="18.21875" bestFit="1" customWidth="1"/>
    <col min="5" max="5" width="14.109375" bestFit="1" customWidth="1"/>
    <col min="6" max="6" width="15.664062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  <row r="34" spans="2:8" x14ac:dyDescent="0.3">
      <c r="B34" s="3" t="s">
        <v>27</v>
      </c>
      <c r="C34" s="3" t="s">
        <v>76</v>
      </c>
      <c r="D34" s="3" t="s">
        <v>77</v>
      </c>
      <c r="E34" s="3" t="s">
        <v>78</v>
      </c>
      <c r="F34" s="3" t="s">
        <v>79</v>
      </c>
      <c r="G34" s="3" t="s">
        <v>80</v>
      </c>
      <c r="H34" s="3" t="s">
        <v>81</v>
      </c>
    </row>
    <row r="35" spans="2:8" x14ac:dyDescent="0.3">
      <c r="B35" s="2" t="s">
        <v>9</v>
      </c>
      <c r="C35" s="6">
        <f>9/14</f>
        <v>0.6428571428571429</v>
      </c>
      <c r="D35" s="6">
        <f>3/8</f>
        <v>0.375</v>
      </c>
      <c r="E35" s="23">
        <v>141.07142857142858</v>
      </c>
      <c r="F35" s="23">
        <v>115.625</v>
      </c>
      <c r="G35" s="6"/>
      <c r="H35" s="6"/>
    </row>
    <row r="36" spans="2:8" x14ac:dyDescent="0.3">
      <c r="B36" s="2" t="s">
        <v>15</v>
      </c>
      <c r="C36" s="6">
        <f>9/14</f>
        <v>0.6428571428571429</v>
      </c>
      <c r="D36" s="6">
        <f>14/19</f>
        <v>0.73684210526315785</v>
      </c>
      <c r="E36" s="23">
        <v>219.64285714285714</v>
      </c>
      <c r="F36" s="23">
        <v>197.36842105263159</v>
      </c>
      <c r="G36" s="6"/>
      <c r="H36" s="6"/>
    </row>
    <row r="37" spans="2:8" x14ac:dyDescent="0.3">
      <c r="B37" s="2" t="s">
        <v>13</v>
      </c>
      <c r="C37" s="6">
        <f>10/15</f>
        <v>0.66666666666666663</v>
      </c>
      <c r="D37" s="6">
        <f>6/12</f>
        <v>0.5</v>
      </c>
      <c r="E37" s="23">
        <v>85</v>
      </c>
      <c r="F37" s="23">
        <v>54.166666666666664</v>
      </c>
      <c r="G37" s="6"/>
      <c r="H37" s="6"/>
    </row>
    <row r="38" spans="2:8" x14ac:dyDescent="0.3">
      <c r="B38" s="2" t="s">
        <v>18</v>
      </c>
      <c r="C38" s="6">
        <f>5/13</f>
        <v>0.38461538461538464</v>
      </c>
      <c r="D38" s="6">
        <f>3/5</f>
        <v>0.6</v>
      </c>
      <c r="E38" s="23">
        <v>9.615384615384615</v>
      </c>
      <c r="F38" s="23">
        <v>90</v>
      </c>
      <c r="G38" s="6"/>
      <c r="H38" s="6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workbookViewId="0">
      <selection activeCell="N15" sqref="N1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7" t="s">
        <v>63</v>
      </c>
      <c r="O6" s="27"/>
      <c r="P6" s="27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21151-4306-4E94-877E-3E0A5CCF7860}">
  <dimension ref="A4:K24"/>
  <sheetViews>
    <sheetView workbookViewId="0">
      <selection activeCell="O23" sqref="O23"/>
    </sheetView>
  </sheetViews>
  <sheetFormatPr defaultRowHeight="14.4" x14ac:dyDescent="0.3"/>
  <cols>
    <col min="8" max="8" width="14.44140625" customWidth="1"/>
  </cols>
  <sheetData>
    <row r="4" spans="1:11" x14ac:dyDescent="0.3">
      <c r="A4" s="24" t="s">
        <v>85</v>
      </c>
      <c r="B4" s="24" t="s">
        <v>86</v>
      </c>
      <c r="C4" s="24" t="s">
        <v>87</v>
      </c>
    </row>
    <row r="5" spans="1:11" x14ac:dyDescent="0.3">
      <c r="A5" s="2" t="s">
        <v>88</v>
      </c>
      <c r="B5" s="2">
        <v>12</v>
      </c>
      <c r="C5" s="2" t="str">
        <f>IF(B5&gt;20,"kbir","sghir")</f>
        <v>sghir</v>
      </c>
    </row>
    <row r="6" spans="1:11" x14ac:dyDescent="0.3">
      <c r="A6" s="2" t="s">
        <v>89</v>
      </c>
      <c r="B6" s="2">
        <v>13</v>
      </c>
      <c r="C6" s="2" t="str">
        <f t="shared" ref="C6:C13" si="0">IF(B6&gt;20,"kbir","sghir")</f>
        <v>sghir</v>
      </c>
    </row>
    <row r="7" spans="1:11" x14ac:dyDescent="0.3">
      <c r="A7" s="2" t="s">
        <v>90</v>
      </c>
      <c r="B7" s="2">
        <v>27</v>
      </c>
      <c r="C7" s="2" t="str">
        <f t="shared" si="0"/>
        <v>kbir</v>
      </c>
      <c r="G7" s="27" t="s">
        <v>99</v>
      </c>
      <c r="H7" s="27"/>
      <c r="I7" s="27" t="s">
        <v>100</v>
      </c>
      <c r="J7" s="27"/>
      <c r="K7" s="27"/>
    </row>
    <row r="8" spans="1:11" x14ac:dyDescent="0.3">
      <c r="A8" s="2" t="s">
        <v>91</v>
      </c>
      <c r="B8" s="2">
        <v>38</v>
      </c>
      <c r="C8" s="2" t="str">
        <f t="shared" si="0"/>
        <v>kbir</v>
      </c>
    </row>
    <row r="9" spans="1:11" x14ac:dyDescent="0.3">
      <c r="A9" s="2" t="s">
        <v>92</v>
      </c>
      <c r="B9" s="2">
        <v>39</v>
      </c>
      <c r="C9" s="2" t="str">
        <f t="shared" si="0"/>
        <v>kbir</v>
      </c>
      <c r="G9" s="24" t="s">
        <v>97</v>
      </c>
      <c r="H9" s="2" t="s">
        <v>87</v>
      </c>
      <c r="J9" s="26" t="s">
        <v>98</v>
      </c>
      <c r="K9" s="2" t="s">
        <v>88</v>
      </c>
    </row>
    <row r="10" spans="1:11" x14ac:dyDescent="0.3">
      <c r="A10" s="2" t="s">
        <v>93</v>
      </c>
      <c r="B10" s="2">
        <v>26</v>
      </c>
      <c r="C10" s="2" t="str">
        <f t="shared" si="0"/>
        <v>kbir</v>
      </c>
      <c r="G10" s="24" t="s">
        <v>98</v>
      </c>
      <c r="H10" s="2" t="s">
        <v>89</v>
      </c>
      <c r="K10" t="s">
        <v>86</v>
      </c>
    </row>
    <row r="11" spans="1:11" x14ac:dyDescent="0.3">
      <c r="A11" s="2" t="s">
        <v>94</v>
      </c>
      <c r="B11" s="2">
        <v>44</v>
      </c>
      <c r="C11" s="2" t="str">
        <f t="shared" si="0"/>
        <v>kbir</v>
      </c>
    </row>
    <row r="12" spans="1:11" x14ac:dyDescent="0.3">
      <c r="A12" s="2" t="s">
        <v>95</v>
      </c>
      <c r="B12" s="2">
        <v>87</v>
      </c>
      <c r="C12" s="2" t="str">
        <f t="shared" si="0"/>
        <v>kbir</v>
      </c>
      <c r="G12" s="28" t="str">
        <f>HLOOKUP(H9,A4:C13,MATCH(H10,A4:A13,0))</f>
        <v>sghir</v>
      </c>
      <c r="H12" s="28"/>
      <c r="J12" s="28"/>
      <c r="K12" s="28"/>
    </row>
    <row r="13" spans="1:11" x14ac:dyDescent="0.3">
      <c r="A13" s="2" t="s">
        <v>96</v>
      </c>
      <c r="B13" s="2">
        <v>56</v>
      </c>
      <c r="C13" s="2" t="str">
        <f t="shared" si="0"/>
        <v>kbir</v>
      </c>
    </row>
    <row r="15" spans="1:11" x14ac:dyDescent="0.3">
      <c r="J15" s="26" t="s">
        <v>85</v>
      </c>
      <c r="K15" s="26" t="s">
        <v>87</v>
      </c>
    </row>
    <row r="16" spans="1:11" x14ac:dyDescent="0.3">
      <c r="G16" s="25"/>
      <c r="J16" s="2" t="s">
        <v>88</v>
      </c>
      <c r="K16" s="2" t="e">
        <f>VLOOKUP(J16,A5:A13,3,FALSE)</f>
        <v>#REF!</v>
      </c>
    </row>
    <row r="17" spans="10:11" x14ac:dyDescent="0.3">
      <c r="J17" s="2" t="s">
        <v>89</v>
      </c>
      <c r="K17" s="2"/>
    </row>
    <row r="18" spans="10:11" x14ac:dyDescent="0.3">
      <c r="J18" s="2" t="s">
        <v>90</v>
      </c>
      <c r="K18" s="2"/>
    </row>
    <row r="19" spans="10:11" x14ac:dyDescent="0.3">
      <c r="J19" s="2" t="s">
        <v>91</v>
      </c>
      <c r="K19" s="2"/>
    </row>
    <row r="20" spans="10:11" x14ac:dyDescent="0.3">
      <c r="J20" s="2" t="s">
        <v>92</v>
      </c>
      <c r="K20" s="2"/>
    </row>
    <row r="21" spans="10:11" x14ac:dyDescent="0.3">
      <c r="J21" s="2" t="s">
        <v>93</v>
      </c>
      <c r="K21" s="2"/>
    </row>
    <row r="22" spans="10:11" x14ac:dyDescent="0.3">
      <c r="J22" s="2" t="s">
        <v>94</v>
      </c>
      <c r="K22" s="2"/>
    </row>
    <row r="23" spans="10:11" x14ac:dyDescent="0.3">
      <c r="J23" s="2" t="s">
        <v>95</v>
      </c>
      <c r="K23" s="2"/>
    </row>
    <row r="24" spans="10:11" x14ac:dyDescent="0.3">
      <c r="J24" s="2" t="s">
        <v>96</v>
      </c>
      <c r="K24" s="2"/>
    </row>
  </sheetData>
  <mergeCells count="4">
    <mergeCell ref="G12:H12"/>
    <mergeCell ref="G7:H7"/>
    <mergeCell ref="I7:K7"/>
    <mergeCell ref="J12:K1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pivot table</vt:lpstr>
      <vt:lpstr>data analysis</vt:lpstr>
      <vt:lpstr>trading_raw_data2</vt:lpstr>
      <vt:lpstr>functions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2026-09-25T18:29:11Z</dcterms:modified>
</cp:coreProperties>
</file>