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B8C3ACE-1D3A-4CD1-99CE-582AECAC6710}" xr6:coauthVersionLast="47" xr6:coauthVersionMax="47" xr10:uidLastSave="{00000000-0000-0000-0000-000000000000}"/>
  <bookViews>
    <workbookView xWindow="-108" yWindow="-108" windowWidth="23256" windowHeight="12456" firstSheet="1" activeTab="2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5" i="2" l="1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<sst xmlns="http://schemas.openxmlformats.org/spreadsheetml/2006/main" count="816" uniqueCount="88">
  <si>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</si>
  <si>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</si>
  <si>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</si>
  <si>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</si>
  <si>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</si>
  <si>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</si>
  <si>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</si>
  <si>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</si>
  <si>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</si>
  <si>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</si>
  <si>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</si>
  <si>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</si>
  <si>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</si>
  <si>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</si>
  <si>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</si>
  <si>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</si>
  <si>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</si>
  <si>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</si>
  <si>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</si>
  <si>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</si>
  <si>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</si>
  <si>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</si>
  <si>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</si>
  <si>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</si>
  <si>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</si>
  <si>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</si>
  <si>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</si>
  <si>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</si>
  <si>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</si>
  <si>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</si>
  <si>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</si>
  <si>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</si>
  <si>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</si>
  <si>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</si>
  <si>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</si>
  <si>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</si>
  <si>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</si>
  <si>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</si>
  <si>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</si>
  <si>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</si>
  <si>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</si>
  <si>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</si>
  <si>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</si>
  <si>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</si>
  <si>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</si>
  <si>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</si>
  <si>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</si>
  <si>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</si>
  <si>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</si>
  <si>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</si>
  <si>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</si>
  <si>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</si>
  <si>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</si>
  <si>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</si>
  <si>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</si>
  <si>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</si>
  <si>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</si>
  <si>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</si>
  <si>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</si>
  <si>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</si>
  <si>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</si>
  <si>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</si>
  <si>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</si>
  <si>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</si>
  <si>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</si>
  <si>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</si>
  <si>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</si>
  <si>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</si>
  <si>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</si>
  <si>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</si>
  <si>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</si>
  <si>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</si>
  <si>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</si>
  <si>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</si>
  <si>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</si>
  <si>
    <t>GOOD</t>
  </si>
  <si>
    <t>REVIEW</t>
  </si>
  <si>
    <t>LONDON WIN RATE</t>
  </si>
  <si>
    <t>NEW YORK WIN RATE</t>
  </si>
  <si>
    <t>London Count of TradeID</t>
  </si>
  <si>
    <t>New York Count of TradeID</t>
  </si>
  <si>
    <t>Total Count of TradeID</t>
  </si>
  <si>
    <t>London Average of Profit</t>
  </si>
  <si>
    <t>New York Average of Profit</t>
  </si>
  <si>
    <t>Total Average of Profit</t>
  </si>
  <si>
    <t>Average of Profit</t>
  </si>
  <si>
    <t>avg profit london</t>
  </si>
  <si>
    <t>avg profit 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</si>
</sst>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" fontId="0" fillId="33" borderId="0" xfId="0" applyNumberFormat="1" applyFill="1"/>
    <xf numFmtId="1" fontId="0" fillId="33" borderId="10" xfId="0" applyNumberForma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" formatCode="0"/>
    </dxf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O11" firstHeaderRow="1" firstDataRow="4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3">
    <field x="3"/>
    <field x="9"/>
    <field x="-2"/>
  </colFields>
  <colItems count="14">
    <i>
      <x/>
      <x/>
      <x/>
    </i>
    <i r="2" i="1">
      <x v="1"/>
    </i>
    <i r="1">
      <x v="1"/>
      <x/>
    </i>
    <i r="2" i="1">
      <x v="1"/>
    </i>
    <i t="default">
      <x/>
    </i>
    <i t="default" i="1">
      <x/>
    </i>
    <i>
      <x v="1"/>
      <x/>
      <x/>
    </i>
    <i r="2" i="1">
      <x v="1"/>
    </i>
    <i r="1">
      <x v="1"/>
      <x/>
    </i>
    <i r="2" i="1">
      <x v="1"/>
    </i>
    <i t="default">
      <x v="1"/>
    </i>
    <i t="default" i="1">
      <x v="1"/>
    </i>
    <i t="grand">
      <x/>
    </i>
    <i t="grand" i="1">
      <x/>
    </i>
  </colItems>
  <dataFields count="2">
    <dataField name="Count of TradeID" fld="0" subtotal="count" baseField="2" baseItem="1"/>
    <dataField name="Average of Profit" fld="5" subtotal="average" baseField="2" baseItem="0"/>
  </dataFields>
  <formats count="6">
    <format dxfId="21">
      <pivotArea collapsedLevelsAreSubtotals="1" fieldPosition="0">
        <references count="1">
          <reference field="2" count="0"/>
        </references>
      </pivotArea>
    </format>
    <format dxfId="5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3" count="1" selected="0" defaultSubtotal="1">
            <x v="0"/>
          </reference>
        </references>
      </pivotArea>
    </format>
    <format dxfId="4">
      <pivotArea dataOnly="0" labelOnly="1" fieldPosition="0">
        <references count="2">
          <reference field="4294967294" count="1" selected="0">
            <x v="1"/>
          </reference>
          <reference field="3" count="1" defaultSubtotal="1">
            <x v="0"/>
          </reference>
        </references>
      </pivotArea>
    </format>
    <format dxfId="3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3" count="1" selected="0" defaultSubtotal="1">
            <x v="1"/>
          </reference>
        </references>
      </pivotArea>
    </format>
    <format dxfId="2">
      <pivotArea dataOnly="0" labelOnly="1" fieldPosition="0">
        <references count="2">
          <reference field="4294967294" count="1" selected="0">
            <x v="0"/>
          </reference>
          <reference field="3" count="0" defaultSubtotal="1"/>
        </references>
      </pivotArea>
    </format>
    <format dxfId="0">
      <pivotArea dataOnly="0" labelOnly="1" fieldPosition="0">
        <references count="2">
          <reference field="4294967294" count="1" selected="0">
            <x v="1"/>
          </reference>
          <reference field="3" count="1" defaultSubtotal="1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1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0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20">
      <calculatedColumnFormula>IF(OR(Table1[[#This Row],[R]]&gt;=2,Table1[[#This Row],[Profit]]&gt;500),"GOOD","REVIEW")</calculatedColumnFormula>
    </tableColumn>
    <tableColumn id="14" xr3:uid="{4778648E-2E5E-4C3F-BBFA-07AD84B520D7}" name="Profit per R" dataDxfId="19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7">
      <calculatedColumnFormula>TRIM(Table2[[#This Row],[Pair]])</calculatedColumnFormula>
    </tableColumn>
    <tableColumn id="4" xr3:uid="{8C11A028-E104-4984-B143-1E828A3E1EC5}" name="check trim" dataDxfId="16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5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4">
      <calculatedColumnFormula>VALUE(Table3[[#This Row],[text num]])</calculatedColumnFormula>
    </tableColumn>
    <tableColumn id="3" xr3:uid="{A32329F0-3CAE-4B77-9C4A-66E55F5E38EA}" name="check" dataDxfId="13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2" dataDxfId="11">
  <autoFilter ref="Q17:Q25" xr:uid="{9284F1F2-066B-4F54-888C-872719B32047}"/>
  <tableColumns count="1">
    <tableColumn id="1" xr3:uid="{B868BDD4-CA52-440D-A1EA-1585934AF042}" name="TradeID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75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75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76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76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75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75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75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76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76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76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76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76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76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76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75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75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75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76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75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75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76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75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76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76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76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76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76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76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76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76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76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76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76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76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76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75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75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75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76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76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76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76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75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76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76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76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76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76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76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76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76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76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76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75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76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75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O11"/>
  <sheetViews>
    <sheetView topLeftCell="E1" zoomScale="110" zoomScaleNormal="110" workbookViewId="0">
      <selection activeCell="L15" sqref="L15"/>
    </sheetView>
  </sheetViews>
  <sheetFormatPr defaultRowHeight="14.4" x14ac:dyDescent="0.3"/>
  <cols>
    <col min="1" max="1" width="13.77734375" bestFit="1" customWidth="1"/>
    <col min="2" max="2" width="15.109375" bestFit="1" customWidth="1"/>
    <col min="3" max="3" width="14.6640625" bestFit="1" customWidth="1"/>
    <col min="4" max="4" width="15.109375" bestFit="1" customWidth="1"/>
    <col min="5" max="5" width="14.6640625" bestFit="1" customWidth="1"/>
    <col min="6" max="6" width="22" bestFit="1" customWidth="1"/>
    <col min="7" max="7" width="21.5546875" bestFit="1" customWidth="1"/>
    <col min="8" max="8" width="15.10937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15" x14ac:dyDescent="0.3">
      <c r="B3" s="19" t="s">
        <v>73</v>
      </c>
    </row>
    <row r="4" spans="1:15" x14ac:dyDescent="0.3">
      <c r="B4" t="s">
        <v>10</v>
      </c>
      <c r="F4" t="s">
        <v>79</v>
      </c>
      <c r="G4" s="10" t="s">
        <v>82</v>
      </c>
      <c r="H4" t="s">
        <v>16</v>
      </c>
      <c r="L4" t="s">
        <v>80</v>
      </c>
      <c r="M4" s="10" t="s">
        <v>83</v>
      </c>
      <c r="N4" t="s">
        <v>81</v>
      </c>
      <c r="O4" t="s">
        <v>84</v>
      </c>
    </row>
    <row r="5" spans="1:15" x14ac:dyDescent="0.3">
      <c r="B5" t="s">
        <v>17</v>
      </c>
      <c r="D5" t="s">
        <v>12</v>
      </c>
      <c r="G5" s="10"/>
      <c r="H5" t="s">
        <v>17</v>
      </c>
      <c r="J5" t="s">
        <v>12</v>
      </c>
      <c r="M5" s="10"/>
    </row>
    <row r="6" spans="1:15" x14ac:dyDescent="0.3">
      <c r="A6" s="19" t="s">
        <v>74</v>
      </c>
      <c r="B6" t="s">
        <v>72</v>
      </c>
      <c r="C6" t="s">
        <v>85</v>
      </c>
      <c r="D6" t="s">
        <v>72</v>
      </c>
      <c r="E6" t="s">
        <v>85</v>
      </c>
      <c r="G6" s="10"/>
      <c r="H6" t="s">
        <v>72</v>
      </c>
      <c r="I6" t="s">
        <v>85</v>
      </c>
      <c r="J6" t="s">
        <v>72</v>
      </c>
      <c r="K6" t="s">
        <v>85</v>
      </c>
      <c r="M6" s="10"/>
    </row>
    <row r="7" spans="1:15" x14ac:dyDescent="0.3">
      <c r="A7" s="20" t="s">
        <v>9</v>
      </c>
      <c r="B7" s="22">
        <v>5</v>
      </c>
      <c r="C7" s="22">
        <v>-90</v>
      </c>
      <c r="D7" s="22">
        <v>9</v>
      </c>
      <c r="E7" s="22">
        <v>269.44444444444446</v>
      </c>
      <c r="F7" s="22">
        <v>14</v>
      </c>
      <c r="G7" s="24">
        <v>141.07142857142858</v>
      </c>
      <c r="H7" s="22">
        <v>5</v>
      </c>
      <c r="I7" s="22">
        <v>-70</v>
      </c>
      <c r="J7" s="22">
        <v>3</v>
      </c>
      <c r="K7" s="22">
        <v>425</v>
      </c>
      <c r="L7" s="22">
        <v>8</v>
      </c>
      <c r="M7" s="24">
        <v>115.625</v>
      </c>
      <c r="N7" s="22">
        <v>22</v>
      </c>
      <c r="O7" s="22">
        <v>131.81818181818181</v>
      </c>
    </row>
    <row r="8" spans="1:15" x14ac:dyDescent="0.3">
      <c r="A8" s="20" t="s">
        <v>15</v>
      </c>
      <c r="B8" s="22">
        <v>5</v>
      </c>
      <c r="C8" s="22">
        <v>-95</v>
      </c>
      <c r="D8" s="22">
        <v>9</v>
      </c>
      <c r="E8" s="22">
        <v>394.44444444444446</v>
      </c>
      <c r="F8" s="22">
        <v>14</v>
      </c>
      <c r="G8" s="24">
        <v>219.64285714285714</v>
      </c>
      <c r="H8" s="22">
        <v>5</v>
      </c>
      <c r="I8" s="22">
        <v>-135</v>
      </c>
      <c r="J8" s="22">
        <v>14</v>
      </c>
      <c r="K8" s="22">
        <v>316.07142857142856</v>
      </c>
      <c r="L8" s="22">
        <v>19</v>
      </c>
      <c r="M8" s="24">
        <v>197.36842105263159</v>
      </c>
      <c r="N8" s="22">
        <v>33</v>
      </c>
      <c r="O8" s="22">
        <v>206.81818181818181</v>
      </c>
    </row>
    <row r="9" spans="1:15" x14ac:dyDescent="0.3">
      <c r="A9" s="20" t="s">
        <v>13</v>
      </c>
      <c r="B9" s="22">
        <v>5</v>
      </c>
      <c r="C9" s="22">
        <v>-155</v>
      </c>
      <c r="D9" s="22">
        <v>10</v>
      </c>
      <c r="E9" s="22">
        <v>205</v>
      </c>
      <c r="F9" s="22">
        <v>15</v>
      </c>
      <c r="G9" s="24">
        <v>85</v>
      </c>
      <c r="H9" s="22">
        <v>6</v>
      </c>
      <c r="I9" s="22">
        <v>-208.33333333333334</v>
      </c>
      <c r="J9" s="22">
        <v>6</v>
      </c>
      <c r="K9" s="22">
        <v>316.66666666666669</v>
      </c>
      <c r="L9" s="22">
        <v>12</v>
      </c>
      <c r="M9" s="24">
        <v>54.166666666666664</v>
      </c>
      <c r="N9" s="22">
        <v>27</v>
      </c>
      <c r="O9" s="22">
        <v>71.296296296296291</v>
      </c>
    </row>
    <row r="10" spans="1:15" x14ac:dyDescent="0.3">
      <c r="A10" s="20" t="s">
        <v>18</v>
      </c>
      <c r="B10" s="22">
        <v>8</v>
      </c>
      <c r="C10" s="22">
        <v>-146.875</v>
      </c>
      <c r="D10" s="22">
        <v>5</v>
      </c>
      <c r="E10" s="22">
        <v>260</v>
      </c>
      <c r="F10" s="22">
        <v>13</v>
      </c>
      <c r="G10" s="24">
        <v>9.615384615384615</v>
      </c>
      <c r="H10" s="22">
        <v>2</v>
      </c>
      <c r="I10" s="22">
        <v>-125</v>
      </c>
      <c r="J10" s="22">
        <v>3</v>
      </c>
      <c r="K10" s="22">
        <v>233.33333333333334</v>
      </c>
      <c r="L10" s="22">
        <v>5</v>
      </c>
      <c r="M10" s="24">
        <v>90</v>
      </c>
      <c r="N10" s="22">
        <v>18</v>
      </c>
      <c r="O10" s="22">
        <v>31.944444444444443</v>
      </c>
    </row>
    <row r="11" spans="1:15" x14ac:dyDescent="0.3">
      <c r="A11" s="20" t="s">
        <v>71</v>
      </c>
      <c r="B11" s="21">
        <v>23</v>
      </c>
      <c r="C11" s="21">
        <v>-125</v>
      </c>
      <c r="D11" s="21">
        <v>33</v>
      </c>
      <c r="E11" s="21">
        <v>282.57575757575756</v>
      </c>
      <c r="F11" s="21">
        <v>56</v>
      </c>
      <c r="G11" s="21">
        <v>115.17857142857143</v>
      </c>
      <c r="H11" s="21">
        <v>18</v>
      </c>
      <c r="I11" s="21">
        <v>-140.27777777777777</v>
      </c>
      <c r="J11" s="21">
        <v>26</v>
      </c>
      <c r="K11" s="21">
        <v>319.23076923076923</v>
      </c>
      <c r="L11" s="21">
        <v>44</v>
      </c>
      <c r="M11" s="21">
        <v>131.25</v>
      </c>
      <c r="N11" s="21">
        <v>100</v>
      </c>
      <c r="O11" s="21">
        <v>122.25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abSelected="1" topLeftCell="A12" workbookViewId="0">
      <selection activeCell="I34" sqref="I34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6" x14ac:dyDescent="0.3">
      <c r="B34" s="3" t="s">
        <v>27</v>
      </c>
      <c r="C34" s="3" t="s">
        <v>77</v>
      </c>
      <c r="D34" s="3" t="s">
        <v>78</v>
      </c>
      <c r="E34" s="3" t="s">
        <v>86</v>
      </c>
      <c r="F34" s="3" t="s">
        <v>87</v>
      </c>
    </row>
    <row r="35" spans="2:6" x14ac:dyDescent="0.3">
      <c r="B35" s="2" t="s">
        <v>9</v>
      </c>
      <c r="C35" s="6">
        <f>9/14</f>
        <v>0.6428571428571429</v>
      </c>
      <c r="D35" s="6">
        <f>3/8</f>
        <v>0.375</v>
      </c>
      <c r="E35" s="25">
        <v>141.07142857142858</v>
      </c>
      <c r="F35" s="25">
        <v>115.625</v>
      </c>
    </row>
    <row r="36" spans="2:6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5">
        <v>219.64285714285714</v>
      </c>
      <c r="F36" s="25">
        <v>197.36842105263159</v>
      </c>
    </row>
    <row r="37" spans="2:6" x14ac:dyDescent="0.3">
      <c r="B37" s="2" t="s">
        <v>13</v>
      </c>
      <c r="C37" s="6">
        <f>10/15</f>
        <v>0.66666666666666663</v>
      </c>
      <c r="D37" s="6">
        <f>6/12</f>
        <v>0.5</v>
      </c>
      <c r="E37" s="25">
        <v>85</v>
      </c>
      <c r="F37" s="25">
        <v>54.166666666666664</v>
      </c>
    </row>
    <row r="38" spans="2:6" x14ac:dyDescent="0.3">
      <c r="B38" s="2" t="s">
        <v>18</v>
      </c>
      <c r="C38" s="6">
        <f>5/13</f>
        <v>0.38461538461538464</v>
      </c>
      <c r="D38" s="6">
        <f>3/5</f>
        <v>0.6</v>
      </c>
      <c r="E38" s="25">
        <v>9.615384615384615</v>
      </c>
      <c r="F38" s="25">
        <v>90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N25" sqref="N2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3" t="s">
        <v>63</v>
      </c>
      <c r="O6" s="23"/>
      <c r="P6" s="23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9" priority="2"/>
  </conditionalFormatting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data analysis</vt:lpstr>
      <vt:lpstr>trading_raw_data2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2026-09-22T15:30:02Z</dcterms:modified>
</cp:coreProperties>
</file>