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6995A31D-E36F-416D-AD1B-75B926F16DD2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5" i="2" l="1"/>
  <c r="M16" i="2"/>
  <c r="M17" i="2"/>
  <c r="M18" i="2"/>
  <c r="L16" i="2"/>
  <c r="L17" i="2"/>
  <c r="L18" i="2"/>
  <c r="L15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2" i="2" s="1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H15" i="2" l="1"/>
  <c r="H17" i="2"/>
  <c r="H18" i="2"/>
  <c r="H16" i="2"/>
</calcChain>
</file>

<file path=xl/sharedStrings.xml><?xml version="1.0" encoding="utf-8"?>
<sst xmlns="http://schemas.openxmlformats.org/spreadsheetml/2006/main" count="432" uniqueCount="35">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</sst>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33" borderId="11" xfId="0" applyFill="1" applyBorder="1"/>
    <xf numFmtId="0" fontId="0" fillId="0" borderId="11" xfId="0" applyFill="1" applyBorder="1"/>
    <xf numFmtId="1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K8" sqref="K8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M19"/>
  <sheetViews>
    <sheetView tabSelected="1" workbookViewId="0">
      <selection activeCell="M14" sqref="M14:M18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</cols>
  <sheetData>
    <row r="5" spans="3:13" x14ac:dyDescent="0.3">
      <c r="C5" s="3" t="s">
        <v>19</v>
      </c>
      <c r="D5" s="2">
        <f>COUNT(Table1[TradeID])</f>
        <v>100</v>
      </c>
    </row>
    <row r="6" spans="3:13" x14ac:dyDescent="0.3">
      <c r="C6" s="3" t="s">
        <v>20</v>
      </c>
      <c r="D6" s="2">
        <f>SUM(Table1[Profit])</f>
        <v>12225</v>
      </c>
    </row>
    <row r="7" spans="3:13" x14ac:dyDescent="0.3">
      <c r="C7" s="3" t="s">
        <v>21</v>
      </c>
      <c r="D7" s="2">
        <f>AVERAGE(Table1[Profit])</f>
        <v>122.25</v>
      </c>
    </row>
    <row r="8" spans="3:13" x14ac:dyDescent="0.3">
      <c r="C8" s="3" t="s">
        <v>22</v>
      </c>
      <c r="D8" s="2">
        <f>MAX(Table1[Profit])</f>
        <v>750</v>
      </c>
    </row>
    <row r="9" spans="3:13" x14ac:dyDescent="0.3">
      <c r="C9" s="3" t="s">
        <v>23</v>
      </c>
      <c r="D9" s="2">
        <f>MIN(Table1[Profit])</f>
        <v>-375</v>
      </c>
    </row>
    <row r="10" spans="3:13" x14ac:dyDescent="0.3">
      <c r="C10" s="3" t="s">
        <v>24</v>
      </c>
      <c r="D10" s="2">
        <f>COUNTIF(Table1[Result],"Win")</f>
        <v>59</v>
      </c>
    </row>
    <row r="11" spans="3:13" x14ac:dyDescent="0.3">
      <c r="C11" s="3" t="s">
        <v>25</v>
      </c>
      <c r="D11" s="2">
        <f>COUNTIF(Table1[Result],"Loss")</f>
        <v>41</v>
      </c>
    </row>
    <row r="12" spans="3:13" x14ac:dyDescent="0.3">
      <c r="C12" s="3" t="s">
        <v>26</v>
      </c>
      <c r="D12" s="2">
        <f>D10/D5</f>
        <v>0.59</v>
      </c>
    </row>
    <row r="14" spans="3:13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7" t="s">
        <v>34</v>
      </c>
    </row>
    <row r="15" spans="3:13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9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>
        <f>K15/ABS(L15)</f>
        <v>3.0151228733459359</v>
      </c>
    </row>
    <row r="16" spans="3:13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9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>
        <f t="shared" ref="M16:M18" si="0">K16/ABS(L16)</f>
        <v>3.8541666666666665</v>
      </c>
    </row>
    <row r="17" spans="3:13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9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>
        <f t="shared" si="0"/>
        <v>1.3410493827160495</v>
      </c>
    </row>
    <row r="18" spans="3:13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9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>
        <f t="shared" si="0"/>
        <v>1.7543859649122806</v>
      </c>
    </row>
    <row r="19" spans="3:13" x14ac:dyDescent="0.3">
      <c r="I19" s="8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2026-09-12T18:20:48Z</dcterms:modified>
</cp:coreProperties>
</file>