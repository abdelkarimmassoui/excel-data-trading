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A129A4B7-84E7-42D3-9670-901CF0B82796}" xr6:coauthVersionLast="47" xr6:coauthVersionMax="47" xr10:uidLastSave="{00000000-0000-0000-0000-000000000000}"/>
  <bookViews>
    <workbookView xWindow="-108" yWindow="-108" windowWidth="23256" windowHeight="12456" xr2:uid="{29389193-7256-4448-99EA-708D1049F25F}"/>
  </bookViews>
  <sheets>
    <sheet name="pivot table" sheetId="4" r:id="rId1"/>
    <sheet name="trading_raw_data2" sheetId="1" r:id="rId2"/>
    <sheet name="data analysis" sheetId="2" r:id="rId3"/>
    <sheet name="data cleaning " sheetId="3" r:id="rId4"/>
  </sheets>
  <calcPr calcId="191029"/>
  <pivotCaches>
    <pivotCache cacheId="2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16" i="3" l="1" a="1"/>
  <c r="X16" i="3" s="1"/>
  <c r="X17" i="3" a="1"/>
  <c r="X17" i="3" s="1"/>
  <c r="X18" i="3" a="1"/>
  <c r="X18" i="3" s="1"/>
  <c r="X15" i="3" a="1"/>
  <c r="X15" i="3" s="1"/>
  <c r="O9" i="1"/>
  <c r="P9" i="1"/>
  <c r="M17" i="3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<sst xmlns="http://schemas.openxmlformats.org/spreadsheetml/2006/main" count="500" uniqueCount="75">
  <si>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</si>
  <si>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</si>
  <si>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</si>
  <si>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</si>
  <si>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</si>
  <si>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</si>
  <si>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</si>
  <si>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</si>
  <si>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</si>
  <si>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</si>
  <si>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</si>
  <si>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</si>
  <si>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</si>
  <si>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</si>
  <si>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</si>
  <si>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</si>
  <si>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</si>
  <si>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</si>
  <si>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</si>
  <si>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</si>
  <si>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</si>
  <si>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</si>
  <si>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</si>
  <si>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</si>
  <si>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</si>
  <si>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</si>
  <si>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</si>
  <si>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</si>
  <si>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</si>
  <si>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</si>
  <si>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</si>
  <si>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</si>
  <si>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</si>
  <si>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</si>
  <si>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</si>
  <si>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</si>
  <si>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</si>
  <si>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</si>
  <si>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</si>
  <si>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</si>
  <si>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</si>
  <si>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</si>
  <si>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</si>
  <si>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</si>
  <si>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</si>
  <si>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</si>
  <si>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</si>
  <si>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</si>
  <si>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</si>
  <si>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</si>
  <si>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</si>
  <si>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</si>
  <si>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</si>
  <si>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</si>
  <si>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</si>
  <si>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</si>
  <si>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</si>
  <si>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</si>
  <si>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</si>
  <si>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</si>
  <si>
    <t>id</t>
  </si>
  <si>
    <t>profit</t>
  </si>
  <si>
    <t>r</t>
  </si>
  <si>
    <t>XLOOKUP</t>
  </si>
  <si>
    <t>Account Type</t>
  </si>
  <si>
    <t>A001</t>
  </si>
  <si>
    <t>A002</t>
  </si>
  <si>
    <t>A003</t>
  </si>
  <si>
    <t>Funded</t>
  </si>
  <si>
    <t>Challenge</t>
  </si>
  <si>
    <t>A004</t>
  </si>
  <si>
    <t>Row Labels</t>
  </si>
  <si>
    <t>Grand Total</t>
  </si>
  <si>
    <t>Column Labels</t>
  </si>
  <si>
    <t>Count of TradeID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</si>
</sst>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  <xf numFmtId="0" fontId="0" fillId="0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20">
    <dxf>
      <numFmt numFmtId="2" formatCode="0.00"/>
    </dxf>
    <dxf>
      <numFmt numFmtId="169" formatCode="0.0"/>
    </dxf>
    <dxf>
      <numFmt numFmtId="2" formatCode="0.00"/>
    </dxf>
    <dxf>
      <numFmt numFmtId="168" formatCode="0.000"/>
    </dxf>
    <dxf>
      <numFmt numFmtId="167" formatCode="0.0000"/>
    </dxf>
    <dxf>
      <numFmt numFmtId="166" formatCode="0.00000"/>
    </dxf>
    <dxf>
      <numFmt numFmtId="165" formatCode="0.00000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pivotCacheDefinition" Target="pivotCache/pivotCacheDefinition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284.786864351852" createdVersion="8" refreshedVersion="8" minRefreshableVersion="3" recordCount="100" xr:uid="{B5704D22-3EE7-4BB0-8E8C-6CA18976C1C7}">
  <cacheSource type="worksheet">
    <worksheetSource name="Table1"/>
  </cacheSource>
  <cacheFields count="11">
    <cacheField name="TradeID" numFmtId="0">
      <sharedItems containsSemiMixedTypes="0" containsString="0" containsNumber="1" containsInteger="1" minValue="1" maxValue="100"/>
    </cacheField>
    <cacheField name="AccountID" numFmtId="0">
      <sharedItems containsSemiMixedTypes="0" containsString="0" containsNumber="1" containsInteger="1" minValue="10001" maxValue="10006"/>
    </cacheField>
    <cacheField name="Pair" numFmtId="0">
      <sharedItems count="4">
        <s v="EURUSD"/>
        <s v="GBPUSD"/>
        <s v="US30"/>
        <s v="XAUUSD"/>
      </sharedItems>
    </cacheField>
    <cacheField name="Session" numFmtId="0">
      <sharedItems count="2">
        <s v="New York"/>
        <s v="London"/>
      </sharedItems>
    </cacheField>
    <cacheField name="Direction" numFmtId="0">
      <sharedItems/>
    </cacheField>
    <cacheField name="Profit" numFmtId="0">
      <sharedItems containsSemiMixedTypes="0" containsString="0" containsNumber="1" containsInteger="1" minValue="-375" maxValue="750"/>
    </cacheField>
    <cacheField name="R" numFmtId="0">
      <sharedItems containsSemiMixedTypes="0" containsString="0" containsNumber="1" minValue="-1.5" maxValue="3"/>
    </cacheField>
    <cacheField name="Risk Status" numFmtId="0">
      <sharedItems/>
    </cacheField>
    <cacheField name="Profit per R" numFmtId="0">
      <sharedItems containsSemiMixedTypes="0" containsString="0" containsNumber="1" containsInteger="1" minValue="50" maxValue="250"/>
    </cacheField>
    <cacheField name="Result" numFmtId="0">
      <sharedItems count="2">
        <s v="Win"/>
        <s v="Loss"/>
      </sharedItems>
    </cacheField>
    <cacheField name="TradeDate" numFmtId="14">
      <sharedItems containsSemiMixedTypes="0" containsNonDate="0" containsDate="1" containsString="0" minDate="2026-01-05T00:00:00" maxDate="2026-07-05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6"/>
    <n v="10005"/>
    <x v="0"/>
    <x v="0"/>
    <s v="Buy"/>
    <n v="600"/>
    <n v="3"/>
    <s v="GOOD"/>
    <n v="200"/>
    <x v="0"/>
    <d v="2026-05-22T00:00:00"/>
  </r>
  <r>
    <n v="80"/>
    <n v="10006"/>
    <x v="0"/>
    <x v="0"/>
    <s v="Sell"/>
    <n v="600"/>
    <n v="3"/>
    <s v="GOOD"/>
    <n v="200"/>
    <x v="0"/>
    <d v="2026-05-29T00:00:00"/>
  </r>
  <r>
    <n v="16"/>
    <n v="10006"/>
    <x v="0"/>
    <x v="1"/>
    <s v="Sell"/>
    <n v="500"/>
    <n v="2"/>
    <s v="GOOD"/>
    <n v="250"/>
    <x v="0"/>
    <d v="2026-05-26T00:00:00"/>
  </r>
  <r>
    <n v="78"/>
    <n v="10001"/>
    <x v="0"/>
    <x v="1"/>
    <s v="Sell"/>
    <n v="500"/>
    <n v="2"/>
    <s v="GOOD"/>
    <n v="250"/>
    <x v="0"/>
    <d v="2026-06-09T00:00:00"/>
  </r>
  <r>
    <n v="35"/>
    <n v="10005"/>
    <x v="0"/>
    <x v="1"/>
    <s v="Buy"/>
    <n v="375"/>
    <n v="1.5"/>
    <s v="REVIEW"/>
    <n v="250"/>
    <x v="0"/>
    <d v="2026-01-19T00:00:00"/>
  </r>
  <r>
    <n v="45"/>
    <n v="10003"/>
    <x v="0"/>
    <x v="1"/>
    <s v="Buy"/>
    <n v="375"/>
    <n v="1.5"/>
    <s v="REVIEW"/>
    <n v="250"/>
    <x v="0"/>
    <d v="2026-02-02T00:00:00"/>
  </r>
  <r>
    <n v="43"/>
    <n v="10003"/>
    <x v="0"/>
    <x v="1"/>
    <s v="Sell"/>
    <n v="200"/>
    <n v="2"/>
    <s v="GOOD"/>
    <n v="100"/>
    <x v="0"/>
    <d v="2026-03-10T00:00:00"/>
  </r>
  <r>
    <n v="77"/>
    <n v="10006"/>
    <x v="0"/>
    <x v="1"/>
    <s v="Sell"/>
    <n v="200"/>
    <n v="2"/>
    <s v="GOOD"/>
    <n v="100"/>
    <x v="0"/>
    <d v="2026-06-25T00:00:00"/>
  </r>
  <r>
    <n v="99"/>
    <n v="10006"/>
    <x v="0"/>
    <x v="1"/>
    <s v="Sell"/>
    <n v="125"/>
    <n v="2.5"/>
    <s v="GOOD"/>
    <n v="50"/>
    <x v="0"/>
    <d v="2026-03-20T00:00:00"/>
  </r>
  <r>
    <n v="97"/>
    <n v="10006"/>
    <x v="0"/>
    <x v="1"/>
    <s v="Buy"/>
    <n v="100"/>
    <n v="1"/>
    <s v="REVIEW"/>
    <n v="100"/>
    <x v="0"/>
    <d v="2026-05-30T00:00:00"/>
  </r>
  <r>
    <n v="93"/>
    <n v="10004"/>
    <x v="0"/>
    <x v="0"/>
    <s v="Sell"/>
    <n v="75"/>
    <n v="1.5"/>
    <s v="REVIEW"/>
    <n v="50"/>
    <x v="0"/>
    <d v="2026-01-31T00:00:00"/>
  </r>
  <r>
    <n v="1"/>
    <n v="10002"/>
    <x v="0"/>
    <x v="1"/>
    <s v="Sell"/>
    <n v="50"/>
    <n v="1"/>
    <s v="REVIEW"/>
    <n v="50"/>
    <x v="0"/>
    <d v="2026-06-17T00:00:00"/>
  </r>
  <r>
    <n v="38"/>
    <n v="10005"/>
    <x v="0"/>
    <x v="1"/>
    <s v="Sell"/>
    <n v="-25"/>
    <n v="-0.5"/>
    <s v="REVIEW"/>
    <n v="50"/>
    <x v="1"/>
    <d v="2026-03-26T00:00:00"/>
  </r>
  <r>
    <n v="30"/>
    <n v="10001"/>
    <x v="0"/>
    <x v="1"/>
    <s v="Buy"/>
    <n v="-50"/>
    <n v="-0.5"/>
    <s v="REVIEW"/>
    <n v="100"/>
    <x v="1"/>
    <d v="2026-05-25T00:00:00"/>
  </r>
  <r>
    <n v="46"/>
    <n v="10001"/>
    <x v="0"/>
    <x v="0"/>
    <s v="Sell"/>
    <n v="-50"/>
    <n v="-0.5"/>
    <s v="REVIEW"/>
    <n v="100"/>
    <x v="1"/>
    <d v="2026-02-06T00:00:00"/>
  </r>
  <r>
    <n v="47"/>
    <n v="10005"/>
    <x v="0"/>
    <x v="0"/>
    <s v="Sell"/>
    <n v="-50"/>
    <n v="-0.5"/>
    <s v="REVIEW"/>
    <n v="100"/>
    <x v="1"/>
    <d v="2026-06-24T00:00:00"/>
  </r>
  <r>
    <n v="52"/>
    <n v="10005"/>
    <x v="0"/>
    <x v="0"/>
    <s v="Buy"/>
    <n v="-50"/>
    <n v="-1"/>
    <s v="REVIEW"/>
    <n v="50"/>
    <x v="1"/>
    <d v="2026-01-12T00:00:00"/>
  </r>
  <r>
    <n v="8"/>
    <n v="10004"/>
    <x v="0"/>
    <x v="0"/>
    <s v="Sell"/>
    <n v="-100"/>
    <n v="-1"/>
    <s v="REVIEW"/>
    <n v="100"/>
    <x v="1"/>
    <d v="2026-03-05T00:00:00"/>
  </r>
  <r>
    <n v="70"/>
    <n v="10004"/>
    <x v="0"/>
    <x v="0"/>
    <s v="Sell"/>
    <n v="-100"/>
    <n v="-1"/>
    <s v="REVIEW"/>
    <n v="100"/>
    <x v="1"/>
    <d v="2026-05-07T00:00:00"/>
  </r>
  <r>
    <n v="86"/>
    <n v="10002"/>
    <x v="0"/>
    <x v="1"/>
    <s v="Buy"/>
    <n v="-100"/>
    <n v="-1"/>
    <s v="REVIEW"/>
    <n v="100"/>
    <x v="1"/>
    <d v="2026-05-27T00:00:00"/>
  </r>
  <r>
    <n v="61"/>
    <n v="10005"/>
    <x v="0"/>
    <x v="1"/>
    <s v="Sell"/>
    <n v="-125"/>
    <n v="-0.5"/>
    <s v="REVIEW"/>
    <n v="250"/>
    <x v="1"/>
    <d v="2026-01-11T00:00:00"/>
  </r>
  <r>
    <n v="34"/>
    <n v="10005"/>
    <x v="0"/>
    <x v="1"/>
    <s v="Sell"/>
    <n v="-150"/>
    <n v="-1.5"/>
    <s v="REVIEW"/>
    <n v="100"/>
    <x v="1"/>
    <d v="2026-03-26T00:00:00"/>
  </r>
  <r>
    <n v="13"/>
    <n v="10006"/>
    <x v="1"/>
    <x v="1"/>
    <s v="Sell"/>
    <n v="750"/>
    <n v="3"/>
    <s v="GOOD"/>
    <n v="250"/>
    <x v="0"/>
    <d v="2026-03-13T00:00:00"/>
  </r>
  <r>
    <n v="98"/>
    <n v="10001"/>
    <x v="1"/>
    <x v="1"/>
    <s v="Buy"/>
    <n v="750"/>
    <n v="3"/>
    <s v="GOOD"/>
    <n v="250"/>
    <x v="0"/>
    <d v="2026-03-07T00:00:00"/>
  </r>
  <r>
    <n v="68"/>
    <n v="10004"/>
    <x v="1"/>
    <x v="1"/>
    <s v="Sell"/>
    <n v="625"/>
    <n v="2.5"/>
    <s v="GOOD"/>
    <n v="250"/>
    <x v="0"/>
    <d v="2026-07-04T00:00:00"/>
  </r>
  <r>
    <n v="85"/>
    <n v="10003"/>
    <x v="1"/>
    <x v="0"/>
    <s v="Sell"/>
    <n v="600"/>
    <n v="3"/>
    <s v="GOOD"/>
    <n v="200"/>
    <x v="0"/>
    <d v="2026-05-09T00:00:00"/>
  </r>
  <r>
    <n v="15"/>
    <n v="10004"/>
    <x v="1"/>
    <x v="0"/>
    <s v="Buy"/>
    <n v="500"/>
    <n v="2.5"/>
    <s v="GOOD"/>
    <n v="200"/>
    <x v="0"/>
    <d v="2026-06-14T00:00:00"/>
  </r>
  <r>
    <n v="37"/>
    <n v="10003"/>
    <x v="1"/>
    <x v="0"/>
    <s v="Buy"/>
    <n v="500"/>
    <n v="2"/>
    <s v="GOOD"/>
    <n v="250"/>
    <x v="0"/>
    <d v="2026-03-12T00:00:00"/>
  </r>
  <r>
    <n v="71"/>
    <n v="10004"/>
    <x v="1"/>
    <x v="0"/>
    <s v="Sell"/>
    <n v="500"/>
    <n v="2"/>
    <s v="GOOD"/>
    <n v="250"/>
    <x v="0"/>
    <d v="2026-05-09T00:00:00"/>
  </r>
  <r>
    <n v="88"/>
    <n v="10004"/>
    <x v="1"/>
    <x v="0"/>
    <s v="Sell"/>
    <n v="500"/>
    <n v="2"/>
    <s v="GOOD"/>
    <n v="250"/>
    <x v="0"/>
    <d v="2026-07-01T00:00:00"/>
  </r>
  <r>
    <n v="76"/>
    <n v="10005"/>
    <x v="1"/>
    <x v="1"/>
    <s v="Buy"/>
    <n v="375"/>
    <n v="1.5"/>
    <s v="REVIEW"/>
    <n v="250"/>
    <x v="0"/>
    <d v="2026-01-12T00:00:00"/>
  </r>
  <r>
    <n v="92"/>
    <n v="10001"/>
    <x v="1"/>
    <x v="0"/>
    <s v="Buy"/>
    <n v="375"/>
    <n v="1.5"/>
    <s v="REVIEW"/>
    <n v="250"/>
    <x v="0"/>
    <d v="2026-01-08T00:00:00"/>
  </r>
  <r>
    <n v="10"/>
    <n v="10004"/>
    <x v="1"/>
    <x v="1"/>
    <s v="Buy"/>
    <n v="300"/>
    <n v="3"/>
    <s v="GOOD"/>
    <n v="100"/>
    <x v="0"/>
    <d v="2026-06-09T00:00:00"/>
  </r>
  <r>
    <n v="23"/>
    <n v="10003"/>
    <x v="1"/>
    <x v="1"/>
    <s v="Buy"/>
    <n v="300"/>
    <n v="3"/>
    <s v="GOOD"/>
    <n v="100"/>
    <x v="0"/>
    <d v="2026-02-04T00:00:00"/>
  </r>
  <r>
    <n v="54"/>
    <n v="10006"/>
    <x v="1"/>
    <x v="0"/>
    <s v="Buy"/>
    <n v="300"/>
    <n v="3"/>
    <s v="GOOD"/>
    <n v="100"/>
    <x v="0"/>
    <d v="2026-04-13T00:00:00"/>
  </r>
  <r>
    <n v="12"/>
    <n v="10006"/>
    <x v="1"/>
    <x v="0"/>
    <s v="Buy"/>
    <n v="250"/>
    <n v="2.5"/>
    <s v="GOOD"/>
    <n v="100"/>
    <x v="0"/>
    <d v="2026-01-21T00:00:00"/>
  </r>
  <r>
    <n v="63"/>
    <n v="10001"/>
    <x v="1"/>
    <x v="1"/>
    <s v="Sell"/>
    <n v="250"/>
    <n v="1"/>
    <s v="REVIEW"/>
    <n v="250"/>
    <x v="0"/>
    <d v="2026-04-23T00:00:00"/>
  </r>
  <r>
    <n v="95"/>
    <n v="10002"/>
    <x v="1"/>
    <x v="0"/>
    <s v="Buy"/>
    <n v="250"/>
    <n v="2.5"/>
    <s v="GOOD"/>
    <n v="100"/>
    <x v="0"/>
    <d v="2026-02-12T00:00:00"/>
  </r>
  <r>
    <n v="84"/>
    <n v="10003"/>
    <x v="1"/>
    <x v="0"/>
    <s v="Sell"/>
    <n v="200"/>
    <n v="2"/>
    <s v="GOOD"/>
    <n v="100"/>
    <x v="0"/>
    <d v="2026-04-30T00:00:00"/>
  </r>
  <r>
    <n v="33"/>
    <n v="10001"/>
    <x v="1"/>
    <x v="0"/>
    <s v="Buy"/>
    <n v="150"/>
    <n v="3"/>
    <s v="GOOD"/>
    <n v="50"/>
    <x v="0"/>
    <d v="2026-02-13T00:00:00"/>
  </r>
  <r>
    <n v="100"/>
    <n v="10004"/>
    <x v="1"/>
    <x v="0"/>
    <s v="Buy"/>
    <n v="150"/>
    <n v="1.5"/>
    <s v="REVIEW"/>
    <n v="100"/>
    <x v="0"/>
    <d v="2026-06-29T00:00:00"/>
  </r>
  <r>
    <n v="3"/>
    <n v="10004"/>
    <x v="1"/>
    <x v="0"/>
    <s v="Buy"/>
    <n v="100"/>
    <n v="1"/>
    <s v="REVIEW"/>
    <n v="100"/>
    <x v="0"/>
    <d v="2026-05-28T00:00:00"/>
  </r>
  <r>
    <n v="7"/>
    <n v="10006"/>
    <x v="1"/>
    <x v="1"/>
    <s v="Buy"/>
    <n v="100"/>
    <n v="2"/>
    <s v="GOOD"/>
    <n v="50"/>
    <x v="0"/>
    <d v="2026-06-01T00:00:00"/>
  </r>
  <r>
    <n v="20"/>
    <n v="10006"/>
    <x v="1"/>
    <x v="1"/>
    <s v="Buy"/>
    <n v="100"/>
    <n v="1"/>
    <s v="REVIEW"/>
    <n v="100"/>
    <x v="0"/>
    <d v="2026-01-19T00:00:00"/>
  </r>
  <r>
    <n v="62"/>
    <n v="10004"/>
    <x v="1"/>
    <x v="0"/>
    <s v="Sell"/>
    <n v="50"/>
    <n v="1"/>
    <s v="REVIEW"/>
    <n v="50"/>
    <x v="0"/>
    <d v="2026-04-21T00:00:00"/>
  </r>
  <r>
    <n v="24"/>
    <n v="10006"/>
    <x v="1"/>
    <x v="1"/>
    <s v="Buy"/>
    <n v="-25"/>
    <n v="-0.5"/>
    <s v="REVIEW"/>
    <n v="50"/>
    <x v="1"/>
    <d v="2026-06-04T00:00:00"/>
  </r>
  <r>
    <n v="14"/>
    <n v="10001"/>
    <x v="1"/>
    <x v="1"/>
    <s v="Sell"/>
    <n v="-50"/>
    <n v="-0.5"/>
    <s v="REVIEW"/>
    <n v="100"/>
    <x v="1"/>
    <d v="2026-04-07T00:00:00"/>
  </r>
  <r>
    <n v="49"/>
    <n v="10001"/>
    <x v="1"/>
    <x v="1"/>
    <s v="Sell"/>
    <n v="-50"/>
    <n v="-0.5"/>
    <s v="REVIEW"/>
    <n v="100"/>
    <x v="1"/>
    <d v="2026-03-14T00:00:00"/>
  </r>
  <r>
    <n v="79"/>
    <n v="10001"/>
    <x v="1"/>
    <x v="1"/>
    <s v="Buy"/>
    <n v="-50"/>
    <n v="-1"/>
    <s v="REVIEW"/>
    <n v="50"/>
    <x v="1"/>
    <d v="2026-04-16T00:00:00"/>
  </r>
  <r>
    <n v="40"/>
    <n v="10005"/>
    <x v="1"/>
    <x v="0"/>
    <s v="Sell"/>
    <n v="-75"/>
    <n v="-1.5"/>
    <s v="REVIEW"/>
    <n v="50"/>
    <x v="1"/>
    <d v="2026-03-18T00:00:00"/>
  </r>
  <r>
    <n v="39"/>
    <n v="10003"/>
    <x v="1"/>
    <x v="0"/>
    <s v="Buy"/>
    <n v="-100"/>
    <n v="-0.5"/>
    <s v="REVIEW"/>
    <n v="200"/>
    <x v="1"/>
    <d v="2026-05-22T00:00:00"/>
  </r>
  <r>
    <n v="29"/>
    <n v="10002"/>
    <x v="1"/>
    <x v="0"/>
    <s v="Sell"/>
    <n v="-125"/>
    <n v="-0.5"/>
    <s v="REVIEW"/>
    <n v="250"/>
    <x v="1"/>
    <d v="2026-04-23T00:00:00"/>
  </r>
  <r>
    <n v="69"/>
    <n v="10005"/>
    <x v="1"/>
    <x v="0"/>
    <s v="Sell"/>
    <n v="-125"/>
    <n v="-0.5"/>
    <s v="REVIEW"/>
    <n v="250"/>
    <x v="1"/>
    <d v="2026-01-20T00:00:00"/>
  </r>
  <r>
    <n v="22"/>
    <n v="10006"/>
    <x v="1"/>
    <x v="0"/>
    <s v="Sell"/>
    <n v="-250"/>
    <n v="-1"/>
    <s v="REVIEW"/>
    <n v="250"/>
    <x v="1"/>
    <d v="2026-05-23T00:00:00"/>
  </r>
  <r>
    <n v="36"/>
    <n v="10004"/>
    <x v="1"/>
    <x v="1"/>
    <s v="Buy"/>
    <n v="-300"/>
    <n v="-1.5"/>
    <s v="REVIEW"/>
    <n v="200"/>
    <x v="1"/>
    <d v="2026-02-04T00:00:00"/>
  </r>
  <r>
    <n v="32"/>
    <n v="10003"/>
    <x v="2"/>
    <x v="0"/>
    <s v="Sell"/>
    <n v="750"/>
    <n v="3"/>
    <s v="GOOD"/>
    <n v="250"/>
    <x v="0"/>
    <d v="2026-01-05T00:00:00"/>
  </r>
  <r>
    <n v="73"/>
    <n v="10002"/>
    <x v="2"/>
    <x v="1"/>
    <s v="Sell"/>
    <n v="500"/>
    <n v="2.5"/>
    <s v="GOOD"/>
    <n v="200"/>
    <x v="0"/>
    <d v="2026-06-18T00:00:00"/>
  </r>
  <r>
    <n v="74"/>
    <n v="10004"/>
    <x v="2"/>
    <x v="0"/>
    <s v="Sell"/>
    <n v="500"/>
    <n v="2.5"/>
    <s v="GOOD"/>
    <n v="200"/>
    <x v="0"/>
    <d v="2026-02-28T00:00:00"/>
  </r>
  <r>
    <n v="87"/>
    <n v="10001"/>
    <x v="2"/>
    <x v="0"/>
    <s v="Sell"/>
    <n v="375"/>
    <n v="1.5"/>
    <s v="REVIEW"/>
    <n v="250"/>
    <x v="0"/>
    <d v="2026-06-30T00:00:00"/>
  </r>
  <r>
    <n v="65"/>
    <n v="10004"/>
    <x v="2"/>
    <x v="1"/>
    <s v="Sell"/>
    <n v="300"/>
    <n v="1.5"/>
    <s v="REVIEW"/>
    <n v="200"/>
    <x v="0"/>
    <d v="2026-05-25T00:00:00"/>
  </r>
  <r>
    <n v="26"/>
    <n v="10004"/>
    <x v="2"/>
    <x v="1"/>
    <s v="Sell"/>
    <n v="250"/>
    <n v="1"/>
    <s v="REVIEW"/>
    <n v="250"/>
    <x v="0"/>
    <d v="2026-05-31T00:00:00"/>
  </r>
  <r>
    <n v="55"/>
    <n v="10005"/>
    <x v="2"/>
    <x v="1"/>
    <s v="Sell"/>
    <n v="200"/>
    <n v="1"/>
    <s v="REVIEW"/>
    <n v="200"/>
    <x v="0"/>
    <d v="2026-04-08T00:00:00"/>
  </r>
  <r>
    <n v="59"/>
    <n v="10006"/>
    <x v="2"/>
    <x v="1"/>
    <s v="Sell"/>
    <n v="200"/>
    <n v="1"/>
    <s v="REVIEW"/>
    <n v="200"/>
    <x v="0"/>
    <d v="2026-04-28T00:00:00"/>
  </r>
  <r>
    <n v="66"/>
    <n v="10004"/>
    <x v="2"/>
    <x v="1"/>
    <s v="Sell"/>
    <n v="200"/>
    <n v="2"/>
    <s v="GOOD"/>
    <n v="100"/>
    <x v="0"/>
    <d v="2026-05-18T00:00:00"/>
  </r>
  <r>
    <n v="2"/>
    <n v="10001"/>
    <x v="2"/>
    <x v="1"/>
    <s v="Buy"/>
    <n v="150"/>
    <n v="3"/>
    <s v="GOOD"/>
    <n v="50"/>
    <x v="0"/>
    <d v="2026-06-05T00:00:00"/>
  </r>
  <r>
    <n v="94"/>
    <n v="10004"/>
    <x v="2"/>
    <x v="1"/>
    <s v="Buy"/>
    <n v="150"/>
    <n v="3"/>
    <s v="GOOD"/>
    <n v="50"/>
    <x v="0"/>
    <d v="2026-03-10T00:00:00"/>
  </r>
  <r>
    <n v="57"/>
    <n v="10005"/>
    <x v="2"/>
    <x v="0"/>
    <s v="Buy"/>
    <n v="125"/>
    <n v="2.5"/>
    <s v="GOOD"/>
    <n v="50"/>
    <x v="0"/>
    <d v="2026-02-23T00:00:00"/>
  </r>
  <r>
    <n v="4"/>
    <n v="10002"/>
    <x v="2"/>
    <x v="0"/>
    <s v="Sell"/>
    <n v="100"/>
    <n v="2"/>
    <s v="GOOD"/>
    <n v="50"/>
    <x v="0"/>
    <d v="2026-07-02T00:00:00"/>
  </r>
  <r>
    <n v="27"/>
    <n v="10006"/>
    <x v="2"/>
    <x v="0"/>
    <s v="Sell"/>
    <n v="50"/>
    <n v="1"/>
    <s v="REVIEW"/>
    <n v="50"/>
    <x v="0"/>
    <d v="2026-04-05T00:00:00"/>
  </r>
  <r>
    <n v="72"/>
    <n v="10004"/>
    <x v="2"/>
    <x v="1"/>
    <s v="Buy"/>
    <n v="50"/>
    <n v="1"/>
    <s v="REVIEW"/>
    <n v="50"/>
    <x v="0"/>
    <d v="2026-02-16T00:00:00"/>
  </r>
  <r>
    <n v="75"/>
    <n v="10003"/>
    <x v="2"/>
    <x v="1"/>
    <s v="Buy"/>
    <n v="50"/>
    <n v="1"/>
    <s v="REVIEW"/>
    <n v="50"/>
    <x v="0"/>
    <d v="2026-01-25T00:00:00"/>
  </r>
  <r>
    <n v="17"/>
    <n v="10005"/>
    <x v="2"/>
    <x v="1"/>
    <s v="Sell"/>
    <n v="-75"/>
    <n v="-1.5"/>
    <s v="REVIEW"/>
    <n v="50"/>
    <x v="1"/>
    <d v="2026-02-14T00:00:00"/>
  </r>
  <r>
    <n v="53"/>
    <n v="10004"/>
    <x v="2"/>
    <x v="0"/>
    <s v="Sell"/>
    <n v="-75"/>
    <n v="-1.5"/>
    <s v="REVIEW"/>
    <n v="50"/>
    <x v="1"/>
    <d v="2026-02-01T00:00:00"/>
  </r>
  <r>
    <n v="21"/>
    <n v="10005"/>
    <x v="2"/>
    <x v="1"/>
    <s v="Sell"/>
    <n v="-100"/>
    <n v="-1"/>
    <s v="REVIEW"/>
    <n v="100"/>
    <x v="1"/>
    <d v="2026-02-06T00:00:00"/>
  </r>
  <r>
    <n v="48"/>
    <n v="10006"/>
    <x v="2"/>
    <x v="1"/>
    <s v="Buy"/>
    <n v="-100"/>
    <n v="-1"/>
    <s v="REVIEW"/>
    <n v="100"/>
    <x v="1"/>
    <d v="2026-02-19T00:00:00"/>
  </r>
  <r>
    <n v="83"/>
    <n v="10002"/>
    <x v="2"/>
    <x v="0"/>
    <s v="Sell"/>
    <n v="-100"/>
    <n v="-0.5"/>
    <s v="REVIEW"/>
    <n v="200"/>
    <x v="1"/>
    <d v="2026-05-04T00:00:00"/>
  </r>
  <r>
    <n v="5"/>
    <n v="10003"/>
    <x v="2"/>
    <x v="1"/>
    <s v="Sell"/>
    <n v="-125"/>
    <n v="-0.5"/>
    <s v="REVIEW"/>
    <n v="250"/>
    <x v="1"/>
    <d v="2026-01-28T00:00:00"/>
  </r>
  <r>
    <n v="31"/>
    <n v="10004"/>
    <x v="2"/>
    <x v="0"/>
    <s v="Buy"/>
    <n v="-125"/>
    <n v="-0.5"/>
    <s v="REVIEW"/>
    <n v="250"/>
    <x v="1"/>
    <d v="2026-04-19T00:00:00"/>
  </r>
  <r>
    <n v="96"/>
    <n v="10003"/>
    <x v="2"/>
    <x v="0"/>
    <s v="Sell"/>
    <n v="-200"/>
    <n v="-1"/>
    <s v="REVIEW"/>
    <n v="200"/>
    <x v="1"/>
    <d v="2026-05-18T00:00:00"/>
  </r>
  <r>
    <n v="64"/>
    <n v="10005"/>
    <x v="2"/>
    <x v="0"/>
    <s v="Sell"/>
    <n v="-375"/>
    <n v="-1.5"/>
    <s v="REVIEW"/>
    <n v="250"/>
    <x v="1"/>
    <d v="2026-02-08T00:00:00"/>
  </r>
  <r>
    <n v="81"/>
    <n v="10004"/>
    <x v="2"/>
    <x v="0"/>
    <s v="Buy"/>
    <n v="-375"/>
    <n v="-1.5"/>
    <s v="REVIEW"/>
    <n v="250"/>
    <x v="1"/>
    <d v="2026-01-08T00:00:00"/>
  </r>
  <r>
    <n v="82"/>
    <n v="10005"/>
    <x v="2"/>
    <x v="1"/>
    <s v="Sell"/>
    <n v="-375"/>
    <n v="-1.5"/>
    <s v="REVIEW"/>
    <n v="250"/>
    <x v="1"/>
    <d v="2026-02-13T00:00:00"/>
  </r>
  <r>
    <n v="90"/>
    <n v="10002"/>
    <x v="3"/>
    <x v="1"/>
    <s v="Buy"/>
    <n v="500"/>
    <n v="2.5"/>
    <s v="GOOD"/>
    <n v="200"/>
    <x v="0"/>
    <d v="2026-02-23T00:00:00"/>
  </r>
  <r>
    <n v="50"/>
    <n v="10002"/>
    <x v="3"/>
    <x v="0"/>
    <s v="Buy"/>
    <n v="375"/>
    <n v="1.5"/>
    <s v="REVIEW"/>
    <n v="250"/>
    <x v="0"/>
    <d v="2026-05-02T00:00:00"/>
  </r>
  <r>
    <n v="91"/>
    <n v="10003"/>
    <x v="3"/>
    <x v="1"/>
    <s v="Buy"/>
    <n v="300"/>
    <n v="1.5"/>
    <s v="REVIEW"/>
    <n v="200"/>
    <x v="0"/>
    <d v="2026-06-04T00:00:00"/>
  </r>
  <r>
    <n v="28"/>
    <n v="10002"/>
    <x v="3"/>
    <x v="1"/>
    <s v="Buy"/>
    <n v="250"/>
    <n v="2.5"/>
    <s v="GOOD"/>
    <n v="100"/>
    <x v="0"/>
    <d v="2026-04-18T00:00:00"/>
  </r>
  <r>
    <n v="67"/>
    <n v="10002"/>
    <x v="3"/>
    <x v="0"/>
    <s v="Buy"/>
    <n v="250"/>
    <n v="2.5"/>
    <s v="GOOD"/>
    <n v="100"/>
    <x v="0"/>
    <d v="2026-03-15T00:00:00"/>
  </r>
  <r>
    <n v="60"/>
    <n v="10006"/>
    <x v="3"/>
    <x v="1"/>
    <s v="Buy"/>
    <n v="150"/>
    <n v="1.5"/>
    <s v="REVIEW"/>
    <n v="100"/>
    <x v="0"/>
    <d v="2026-05-16T00:00:00"/>
  </r>
  <r>
    <n v="41"/>
    <n v="10003"/>
    <x v="3"/>
    <x v="1"/>
    <s v="Buy"/>
    <n v="100"/>
    <n v="1"/>
    <s v="REVIEW"/>
    <n v="100"/>
    <x v="0"/>
    <d v="2026-06-24T00:00:00"/>
  </r>
  <r>
    <n v="89"/>
    <n v="10003"/>
    <x v="3"/>
    <x v="0"/>
    <s v="Sell"/>
    <n v="75"/>
    <n v="1.5"/>
    <s v="REVIEW"/>
    <n v="50"/>
    <x v="0"/>
    <d v="2026-05-25T00:00:00"/>
  </r>
  <r>
    <n v="25"/>
    <n v="10003"/>
    <x v="3"/>
    <x v="1"/>
    <s v="Buy"/>
    <n v="-50"/>
    <n v="-0.5"/>
    <s v="REVIEW"/>
    <n v="100"/>
    <x v="1"/>
    <d v="2026-01-13T00:00:00"/>
  </r>
  <r>
    <n v="9"/>
    <n v="10006"/>
    <x v="3"/>
    <x v="1"/>
    <s v="Sell"/>
    <n v="-75"/>
    <n v="-1.5"/>
    <s v="REVIEW"/>
    <n v="50"/>
    <x v="1"/>
    <d v="2026-04-09T00:00:00"/>
  </r>
  <r>
    <n v="18"/>
    <n v="10003"/>
    <x v="3"/>
    <x v="1"/>
    <s v="Buy"/>
    <n v="-75"/>
    <n v="-1.5"/>
    <s v="REVIEW"/>
    <n v="50"/>
    <x v="1"/>
    <d v="2026-06-14T00:00:00"/>
  </r>
  <r>
    <n v="44"/>
    <n v="10005"/>
    <x v="3"/>
    <x v="1"/>
    <s v="Sell"/>
    <n v="-75"/>
    <n v="-1.5"/>
    <s v="REVIEW"/>
    <n v="50"/>
    <x v="1"/>
    <d v="2026-06-17T00:00:00"/>
  </r>
  <r>
    <n v="19"/>
    <n v="10001"/>
    <x v="3"/>
    <x v="0"/>
    <s v="Buy"/>
    <n v="-100"/>
    <n v="-1"/>
    <s v="REVIEW"/>
    <n v="100"/>
    <x v="1"/>
    <d v="2026-06-07T00:00:00"/>
  </r>
  <r>
    <n v="56"/>
    <n v="10004"/>
    <x v="3"/>
    <x v="0"/>
    <s v="Sell"/>
    <n v="-150"/>
    <n v="-1.5"/>
    <s v="REVIEW"/>
    <n v="100"/>
    <x v="1"/>
    <d v="2026-05-14T00:00:00"/>
  </r>
  <r>
    <n v="11"/>
    <n v="10001"/>
    <x v="3"/>
    <x v="1"/>
    <s v="Buy"/>
    <n v="-200"/>
    <n v="-1"/>
    <s v="REVIEW"/>
    <n v="200"/>
    <x v="1"/>
    <d v="2026-06-29T00:00:00"/>
  </r>
  <r>
    <n v="51"/>
    <n v="10003"/>
    <x v="3"/>
    <x v="1"/>
    <s v="Sell"/>
    <n v="-200"/>
    <n v="-1"/>
    <s v="REVIEW"/>
    <n v="200"/>
    <x v="1"/>
    <d v="2026-03-30T00:00:00"/>
  </r>
  <r>
    <n v="42"/>
    <n v="10002"/>
    <x v="3"/>
    <x v="1"/>
    <s v="Sell"/>
    <n v="-250"/>
    <n v="-1"/>
    <s v="REVIEW"/>
    <n v="250"/>
    <x v="1"/>
    <d v="2026-03-15T00:00:00"/>
  </r>
  <r>
    <n v="58"/>
    <n v="10005"/>
    <x v="3"/>
    <x v="1"/>
    <s v="Sell"/>
    <n v="-250"/>
    <n v="-1"/>
    <s v="REVIEW"/>
    <n v="250"/>
    <x v="1"/>
    <d v="2026-03-23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A79A61-38FD-45EA-A18C-EAC9CD91845A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9" firstHeaderRow="1" firstDataRow="2" firstDataCol="1"/>
  <pivotFields count="11">
    <pivotField dataField="1"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numFmtId="14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9"/>
  </colFields>
  <colItems count="3">
    <i>
      <x/>
    </i>
    <i>
      <x v="1"/>
    </i>
    <i t="grand">
      <x/>
    </i>
  </colItems>
  <dataFields count="1">
    <dataField name="Count of TradeID" fld="0" subtotal="count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3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9">
      <calculatedColumnFormula>IF(OR(Table1[[#This Row],[R]]&gt;=2,Table1[[#This Row],[Profit]]&gt;500),"GOOD","REVIEW")</calculatedColumnFormula>
    </tableColumn>
    <tableColumn id="14" xr3:uid="{4778648E-2E5E-4C3F-BBFA-07AD84B520D7}" name="Profit per R" dataDxfId="18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1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16">
      <calculatedColumnFormula>TRIM(Table2[[#This Row],[Pair]])</calculatedColumnFormula>
    </tableColumn>
    <tableColumn id="4" xr3:uid="{8C11A028-E104-4984-B143-1E828A3E1EC5}" name="check trim" dataDxfId="15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14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13">
      <calculatedColumnFormula>VALUE(Table3[[#This Row],[text num]])</calculatedColumnFormula>
    </tableColumn>
    <tableColumn id="3" xr3:uid="{A32329F0-3CAE-4B77-9C4A-66E55F5E38EA}" name="check" dataDxfId="12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5" totalsRowShown="0" headerRowDxfId="11" dataDxfId="10">
  <autoFilter ref="Q17:Q25" xr:uid="{9284F1F2-066B-4F54-888C-872719B32047}"/>
  <tableColumns count="1">
    <tableColumn id="1" xr3:uid="{B868BDD4-CA52-440D-A1EA-1585934AF042}" name="TradeID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360D7-0D73-4CE4-AFB9-0AF5F61FAEDB}">
  <dimension ref="A3:D9"/>
  <sheetViews>
    <sheetView tabSelected="1" zoomScale="110" zoomScaleNormal="110" workbookViewId="0">
      <selection activeCell="D3" sqref="A3:D9"/>
    </sheetView>
  </sheetViews>
  <sheetFormatPr defaultRowHeight="14.4" x14ac:dyDescent="0.3"/>
  <cols>
    <col min="1" max="1" width="15.109375" bestFit="1" customWidth="1"/>
    <col min="2" max="2" width="15.5546875" bestFit="1" customWidth="1"/>
    <col min="3" max="3" width="4.21875" bestFit="1" customWidth="1"/>
    <col min="4" max="4" width="10.6640625" bestFit="1" customWidth="1"/>
    <col min="5" max="5" width="10" bestFit="1" customWidth="1"/>
    <col min="6" max="6" width="16.21875" bestFit="1" customWidth="1"/>
    <col min="7" max="7" width="14.5546875" bestFit="1" customWidth="1"/>
  </cols>
  <sheetData>
    <row r="3" spans="1:4" x14ac:dyDescent="0.3">
      <c r="A3" s="19" t="s">
        <v>74</v>
      </c>
      <c r="B3" s="19" t="s">
        <v>73</v>
      </c>
    </row>
    <row r="4" spans="1:4" x14ac:dyDescent="0.3">
      <c r="A4" s="19" t="s">
        <v>71</v>
      </c>
      <c r="B4" t="s">
        <v>17</v>
      </c>
      <c r="C4" t="s">
        <v>12</v>
      </c>
      <c r="D4" t="s">
        <v>72</v>
      </c>
    </row>
    <row r="5" spans="1:4" x14ac:dyDescent="0.3">
      <c r="A5" s="20" t="s">
        <v>9</v>
      </c>
      <c r="B5" s="21">
        <v>10</v>
      </c>
      <c r="C5" s="21">
        <v>12</v>
      </c>
      <c r="D5" s="21">
        <v>22</v>
      </c>
    </row>
    <row r="6" spans="1:4" x14ac:dyDescent="0.3">
      <c r="A6" s="20" t="s">
        <v>15</v>
      </c>
      <c r="B6" s="21">
        <v>10</v>
      </c>
      <c r="C6" s="21">
        <v>23</v>
      </c>
      <c r="D6" s="21">
        <v>33</v>
      </c>
    </row>
    <row r="7" spans="1:4" x14ac:dyDescent="0.3">
      <c r="A7" s="20" t="s">
        <v>13</v>
      </c>
      <c r="B7" s="21">
        <v>11</v>
      </c>
      <c r="C7" s="21">
        <v>16</v>
      </c>
      <c r="D7" s="21">
        <v>27</v>
      </c>
    </row>
    <row r="8" spans="1:4" x14ac:dyDescent="0.3">
      <c r="A8" s="20" t="s">
        <v>18</v>
      </c>
      <c r="B8" s="21">
        <v>10</v>
      </c>
      <c r="C8" s="21">
        <v>8</v>
      </c>
      <c r="D8" s="21">
        <v>18</v>
      </c>
    </row>
    <row r="9" spans="1:4" x14ac:dyDescent="0.3">
      <c r="A9" s="20" t="s">
        <v>72</v>
      </c>
      <c r="B9" s="21">
        <v>41</v>
      </c>
      <c r="C9" s="21">
        <v>59</v>
      </c>
      <c r="D9" s="21">
        <v>100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P101"/>
  <sheetViews>
    <sheetView topLeftCell="A2" workbookViewId="0">
      <selection activeCell="D5" sqref="D5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  <col min="14" max="14" width="13.21875" customWidth="1"/>
    <col min="15" max="15" width="15.21875" customWidth="1"/>
    <col min="16" max="16" width="14.332031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6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6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6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6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6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  <c r="N6" s="22" t="s">
        <v>63</v>
      </c>
      <c r="O6" s="22"/>
      <c r="P6" s="22"/>
    </row>
    <row r="7" spans="1:16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6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  <c r="N8" s="10" t="s">
        <v>60</v>
      </c>
      <c r="O8" s="10" t="s">
        <v>61</v>
      </c>
      <c r="P8" s="10" t="s">
        <v>62</v>
      </c>
    </row>
    <row r="9" spans="1:16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  <c r="N9">
        <v>13</v>
      </c>
      <c r="O9">
        <f>_xlfn.XLOOKUP(N9,A:A,F:F)</f>
        <v>750</v>
      </c>
      <c r="P9">
        <f>_xlfn.XLOOKUP(N9,A:A,G:G)</f>
        <v>3</v>
      </c>
    </row>
    <row r="10" spans="1:16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6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6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6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6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6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6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mergeCells count="1">
    <mergeCell ref="N6:P6"/>
  </mergeCells>
  <conditionalFormatting sqref="A1">
    <cfRule type="duplicateValues" dxfId="8" priority="2"/>
  </conditionalFormatting>
  <conditionalFormatting sqref="A1:A1048576">
    <cfRule type="duplicateValues" dxfId="7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0"/>
  <sheetViews>
    <sheetView topLeftCell="A12" workbookViewId="0">
      <selection activeCell="E22" sqref="E22"/>
    </sheetView>
  </sheetViews>
  <sheetFormatPr defaultRowHeight="14.4" x14ac:dyDescent="0.3"/>
  <cols>
    <col min="2" max="2" width="28.88671875" customWidth="1"/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X25"/>
  <sheetViews>
    <sheetView topLeftCell="R1" workbookViewId="0">
      <selection activeCell="X14" sqref="S14:X18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  <col min="19" max="19" width="9.33203125" bestFit="1" customWidth="1"/>
    <col min="20" max="20" width="11.6640625" bestFit="1" customWidth="1"/>
    <col min="24" max="24" width="11.6640625" bestFit="1" customWidth="1"/>
  </cols>
  <sheetData>
    <row r="7" spans="6:24" x14ac:dyDescent="0.3">
      <c r="H7" t="s">
        <v>47</v>
      </c>
    </row>
    <row r="8" spans="6:24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24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24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24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24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24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4" spans="6:24" x14ac:dyDescent="0.3">
      <c r="S14" s="3" t="s">
        <v>1</v>
      </c>
      <c r="T14" s="3" t="s">
        <v>64</v>
      </c>
      <c r="V14" s="3" t="s">
        <v>0</v>
      </c>
      <c r="W14" s="3" t="s">
        <v>1</v>
      </c>
      <c r="X14" s="3" t="s">
        <v>64</v>
      </c>
    </row>
    <row r="15" spans="6:24" x14ac:dyDescent="0.3">
      <c r="S15" s="2" t="s">
        <v>65</v>
      </c>
      <c r="T15" s="2"/>
      <c r="V15" s="2">
        <v>2001</v>
      </c>
      <c r="W15" s="2" t="s">
        <v>66</v>
      </c>
      <c r="X15" s="2" t="e" cm="1" vm="1">
        <f t="array" aca="1" ref="X15" ca="1">IFERROR(_xlfn.XLOOKUP(W15:W18,S15:S18,T15:T18),"not found")</f>
        <v>#VALUE!</v>
      </c>
    </row>
    <row r="16" spans="6:24" x14ac:dyDescent="0.3">
      <c r="K16" t="s">
        <v>56</v>
      </c>
      <c r="L16" t="s">
        <v>55</v>
      </c>
      <c r="M16" t="s">
        <v>59</v>
      </c>
      <c r="S16" s="2" t="s">
        <v>66</v>
      </c>
      <c r="T16" s="2" t="s">
        <v>69</v>
      </c>
      <c r="V16" s="2">
        <v>2002</v>
      </c>
      <c r="W16" s="2" t="s">
        <v>65</v>
      </c>
      <c r="X16" s="2" t="e" cm="1" vm="1">
        <f t="array" aca="1" ref="X16" ca="1">IFERROR(_xlfn.XLOOKUP(W16:W19,S16:S19,T16:T19),"not found")</f>
        <v>#VALUE!</v>
      </c>
    </row>
    <row r="17" spans="11:24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  <c r="S17" s="2" t="s">
        <v>67</v>
      </c>
      <c r="T17" s="2" t="s">
        <v>68</v>
      </c>
      <c r="V17" s="2">
        <v>2003</v>
      </c>
      <c r="W17" s="2" t="s">
        <v>67</v>
      </c>
      <c r="X17" s="2" t="e" cm="1" vm="1">
        <f t="array" aca="1" ref="X17" ca="1">IFERROR(_xlfn.XLOOKUP(W17:W20,S17:S20,T17:T20),"not found")</f>
        <v>#VALUE!</v>
      </c>
    </row>
    <row r="18" spans="11:24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  <c r="S18" s="18" t="s">
        <v>70</v>
      </c>
      <c r="T18" s="2" t="s">
        <v>69</v>
      </c>
      <c r="V18" s="18">
        <v>2004</v>
      </c>
      <c r="W18" s="2" t="s">
        <v>70</v>
      </c>
      <c r="X18" s="2" t="str" cm="1">
        <f t="array" ref="X18:X21">IFERROR(_xlfn.XLOOKUP(W18:W21,S18:S21,T18:T21),"not found")</f>
        <v>Challenge</v>
      </c>
    </row>
    <row r="19" spans="11:24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  <c r="X19">
        <v>0</v>
      </c>
    </row>
    <row r="20" spans="11:24" x14ac:dyDescent="0.3">
      <c r="Q20" s="17">
        <v>1003</v>
      </c>
      <c r="X20">
        <v>0</v>
      </c>
    </row>
    <row r="21" spans="11:24" x14ac:dyDescent="0.3">
      <c r="Q21" s="17">
        <v>1004</v>
      </c>
      <c r="X21">
        <v>0</v>
      </c>
    </row>
    <row r="22" spans="11:24" x14ac:dyDescent="0.3">
      <c r="Q22" s="17">
        <v>1005</v>
      </c>
    </row>
    <row r="23" spans="11:24" x14ac:dyDescent="0.3">
      <c r="Q23" s="17">
        <v>1006</v>
      </c>
    </row>
    <row r="24" spans="11:24" x14ac:dyDescent="0.3">
      <c r="Q24" s="17">
        <v>1007</v>
      </c>
    </row>
    <row r="25" spans="11:24" x14ac:dyDescent="0.3">
      <c r="Q25" s="17">
        <v>1008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pivot table</vt:lpstr>
      <vt:lpstr>trading_raw_data2</vt:lpstr>
      <vt:lpstr>data analysis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2026-09-19T18:03:54Z</dcterms:modified>
</cp:coreProperties>
</file>