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E568EB1E-3C7C-4DA6-877D-9A3928011E73}" xr6:coauthVersionLast="47" xr6:coauthVersionMax="47" xr10:uidLastSave="{00000000-0000-0000-0000-000000000000}"/>
  <bookViews>
    <workbookView xWindow="-108" yWindow="-108" windowWidth="23256" windowHeight="12456" firstSheet="1" activeTab="4" xr2:uid="{29389193-7256-4448-99EA-708D1049F25F}"/>
  </bookViews>
  <sheets>
    <sheet name="Sheet1" sheetId="5" r:id="rId1"/>
    <sheet name="pivot table" sheetId="4" r:id="rId2"/>
    <sheet name="data analysis" sheetId="2" r:id="rId3"/>
    <sheet name="trading_raw_data2" sheetId="1" r:id="rId4"/>
    <sheet name="functions" sheetId="6" r:id="rId5"/>
    <sheet name="data cleaning " sheetId="3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6" i="6" l="1"/>
  <c r="G12" i="6"/>
  <c r="C6" i="6"/>
  <c r="C7" i="6"/>
  <c r="C8" i="6"/>
  <c r="C9" i="6"/>
  <c r="C10" i="6"/>
  <c r="C11" i="6"/>
  <c r="C12" i="6"/>
  <c r="C13" i="6"/>
  <c r="C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<sst xmlns="http://schemas.openxmlformats.org/spreadsheetml/2006/main" count="840" uniqueCount="101">
  <si>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</si>
  <si>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</si>
  <si>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</si>
  <si>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</si>
  <si>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</si>
  <si>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</si>
  <si>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</si>
  <si>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</si>
  <si>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</si>
  <si>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</si>
  <si>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</si>
  <si>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</si>
  <si>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</si>
  <si>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</si>
  <si>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</si>
  <si>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</si>
  <si>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</si>
  <si>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</si>
  <si>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</si>
  <si>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</si>
  <si>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</si>
  <si>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</si>
  <si>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</si>
  <si>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</si>
  <si>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</si>
  <si>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</si>
  <si>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</si>
  <si>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</si>
  <si>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</si>
  <si>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</si>
  <si>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</si>
  <si>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</si>
  <si>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</si>
  <si>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</si>
  <si>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</si>
  <si>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</si>
  <si>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</si>
  <si>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</si>
  <si>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</si>
  <si>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</si>
  <si>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</si>
  <si>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</si>
  <si>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</si>
  <si>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</si>
  <si>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</si>
  <si>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</si>
  <si>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</si>
  <si>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</si>
  <si>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</si>
  <si>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</si>
  <si>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</si>
  <si>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</si>
  <si>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</si>
  <si>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</si>
  <si>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</si>
  <si>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</si>
  <si>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</si>
  <si>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</si>
  <si>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</si>
  <si>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</si>
  <si>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</si>
  <si>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</si>
  <si>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</si>
  <si>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</si>
  <si>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</si>
  <si>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</si>
  <si>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</si>
  <si>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</si>
  <si>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</si>
  <si>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</si>
  <si>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</si>
  <si>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</si>
  <si>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</si>
  <si>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</si>
  <si>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</si>
  <si>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</si>
  <si>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</si>
  <si>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</si>
  <si>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</si>
  <si>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</si>
  <si>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</si>
  <si>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</si>
  <si>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</si>
  <si>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</si>
  <si>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</si>
  <si>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</si>
  <si>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</si>
  <si>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</si>
  <si>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</si>
  <si>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</si>
  <si>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</si>
  <si>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</si>
  <si>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</si>
  <si>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</si>
  <si>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</si>
  <si>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</si>
  <si>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</si>
  <si>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colum</t>
  </si>
  <si>
    <t>row</t>
  </si>
  <si>
    <t xml:space="preserve">h look up </t>
  </si>
  <si>
    <t>v look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</si>
</sst>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34" borderId="10" xfId="0" applyFill="1" applyBorder="1" applyAlignment="1">
      <alignment horizontal="center"/>
    </xf>
    <xf numFmtId="0" fontId="16" fillId="34" borderId="10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3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C13" sqref="C13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4.6640625" bestFit="1" customWidth="1"/>
    <col min="10" max="10" width="15.109375" bestFit="1" customWidth="1"/>
    <col min="11" max="11" width="14.6640625" bestFit="1" customWidth="1"/>
    <col min="12" max="12" width="23.77734375" bestFit="1" customWidth="1"/>
    <col min="13" max="13" width="23.21875" bestFit="1" customWidth="1"/>
    <col min="14" max="14" width="19.6640625" bestFit="1" customWidth="1"/>
    <col min="15" max="15" width="19.2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N15" sqref="N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6" t="s">
        <v>63</v>
      </c>
      <c r="O6" s="26"/>
      <c r="P6" s="26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4:K24"/>
  <sheetViews>
    <sheetView tabSelected="1" workbookViewId="0">
      <selection activeCell="K17" sqref="K17"/>
    </sheetView>
  </sheetViews>
  <sheetFormatPr defaultRowHeight="14.4" x14ac:dyDescent="0.3"/>
  <cols>
    <col min="8" max="8" width="14.44140625" customWidth="1"/>
  </cols>
  <sheetData>
    <row r="4" spans="1:11" x14ac:dyDescent="0.3">
      <c r="A4" s="24" t="s">
        <v>85</v>
      </c>
      <c r="B4" s="24" t="s">
        <v>86</v>
      </c>
      <c r="C4" s="24" t="s">
        <v>87</v>
      </c>
    </row>
    <row r="5" spans="1:11" x14ac:dyDescent="0.3">
      <c r="A5" s="2" t="s">
        <v>88</v>
      </c>
      <c r="B5" s="2">
        <v>12</v>
      </c>
      <c r="C5" s="2" t="str">
        <f>IF(B5&gt;20,"kbir","sghir")</f>
        <v>sghir</v>
      </c>
    </row>
    <row r="6" spans="1:11" x14ac:dyDescent="0.3">
      <c r="A6" s="2" t="s">
        <v>89</v>
      </c>
      <c r="B6" s="2">
        <v>13</v>
      </c>
      <c r="C6" s="2" t="str">
        <f t="shared" ref="C6:C13" si="0">IF(B6&gt;20,"kbir","sghir")</f>
        <v>sghir</v>
      </c>
    </row>
    <row r="7" spans="1:11" x14ac:dyDescent="0.3">
      <c r="A7" s="2" t="s">
        <v>90</v>
      </c>
      <c r="B7" s="2">
        <v>27</v>
      </c>
      <c r="C7" s="2" t="str">
        <f t="shared" si="0"/>
        <v>kbir</v>
      </c>
      <c r="G7" s="26" t="s">
        <v>99</v>
      </c>
      <c r="H7" s="26"/>
      <c r="I7" s="26" t="s">
        <v>100</v>
      </c>
      <c r="J7" s="26"/>
      <c r="K7" s="26"/>
    </row>
    <row r="8" spans="1:11" x14ac:dyDescent="0.3">
      <c r="A8" s="2" t="s">
        <v>91</v>
      </c>
      <c r="B8" s="2">
        <v>38</v>
      </c>
      <c r="C8" s="2" t="str">
        <f t="shared" si="0"/>
        <v>kbir</v>
      </c>
    </row>
    <row r="9" spans="1:11" x14ac:dyDescent="0.3">
      <c r="A9" s="2" t="s">
        <v>92</v>
      </c>
      <c r="B9" s="2">
        <v>39</v>
      </c>
      <c r="C9" s="2" t="str">
        <f t="shared" si="0"/>
        <v>kbir</v>
      </c>
      <c r="G9" s="24" t="s">
        <v>97</v>
      </c>
      <c r="H9" s="2" t="s">
        <v>87</v>
      </c>
      <c r="J9" s="28" t="s">
        <v>98</v>
      </c>
      <c r="K9" s="2" t="s">
        <v>88</v>
      </c>
    </row>
    <row r="10" spans="1:11" x14ac:dyDescent="0.3">
      <c r="A10" s="2" t="s">
        <v>93</v>
      </c>
      <c r="B10" s="2">
        <v>26</v>
      </c>
      <c r="C10" s="2" t="str">
        <f t="shared" si="0"/>
        <v>kbir</v>
      </c>
      <c r="G10" s="24" t="s">
        <v>98</v>
      </c>
      <c r="H10" s="2" t="s">
        <v>89</v>
      </c>
      <c r="K10" t="s">
        <v>86</v>
      </c>
    </row>
    <row r="11" spans="1:11" x14ac:dyDescent="0.3">
      <c r="A11" s="2" t="s">
        <v>94</v>
      </c>
      <c r="B11" s="2">
        <v>44</v>
      </c>
      <c r="C11" s="2" t="str">
        <f t="shared" si="0"/>
        <v>kbir</v>
      </c>
    </row>
    <row r="12" spans="1:11" x14ac:dyDescent="0.3">
      <c r="A12" s="2" t="s">
        <v>95</v>
      </c>
      <c r="B12" s="2">
        <v>87</v>
      </c>
      <c r="C12" s="2" t="str">
        <f t="shared" si="0"/>
        <v>kbir</v>
      </c>
      <c r="G12" s="27" t="str">
        <f>HLOOKUP(H9,A4:C13,MATCH(H10,A4:A13,0))</f>
        <v>sghir</v>
      </c>
      <c r="H12" s="27"/>
      <c r="J12" s="27"/>
      <c r="K12" s="27"/>
    </row>
    <row r="13" spans="1:11" x14ac:dyDescent="0.3">
      <c r="A13" s="2" t="s">
        <v>96</v>
      </c>
      <c r="B13" s="2">
        <v>56</v>
      </c>
      <c r="C13" s="2" t="str">
        <f t="shared" si="0"/>
        <v>kbir</v>
      </c>
    </row>
    <row r="15" spans="1:11" x14ac:dyDescent="0.3">
      <c r="J15" s="28" t="s">
        <v>85</v>
      </c>
      <c r="K15" s="28" t="s">
        <v>87</v>
      </c>
    </row>
    <row r="16" spans="1:11" x14ac:dyDescent="0.3">
      <c r="G16" s="25"/>
      <c r="J16" s="2" t="s">
        <v>88</v>
      </c>
      <c r="K16" s="2" t="e">
        <f>VLOOKUP(J16,A5:A13,3,FALSE)</f>
        <v>#REF!</v>
      </c>
    </row>
    <row r="17" spans="10:11" x14ac:dyDescent="0.3">
      <c r="J17" s="2" t="s">
        <v>89</v>
      </c>
      <c r="K17" s="2"/>
    </row>
    <row r="18" spans="10:11" x14ac:dyDescent="0.3">
      <c r="J18" s="2" t="s">
        <v>90</v>
      </c>
      <c r="K18" s="2"/>
    </row>
    <row r="19" spans="10:11" x14ac:dyDescent="0.3">
      <c r="J19" s="2" t="s">
        <v>91</v>
      </c>
      <c r="K19" s="2"/>
    </row>
    <row r="20" spans="10:11" x14ac:dyDescent="0.3">
      <c r="J20" s="2" t="s">
        <v>92</v>
      </c>
      <c r="K20" s="2"/>
    </row>
    <row r="21" spans="10:11" x14ac:dyDescent="0.3">
      <c r="J21" s="2" t="s">
        <v>93</v>
      </c>
      <c r="K21" s="2"/>
    </row>
    <row r="22" spans="10:11" x14ac:dyDescent="0.3">
      <c r="J22" s="2" t="s">
        <v>94</v>
      </c>
      <c r="K22" s="2"/>
    </row>
    <row r="23" spans="10:11" x14ac:dyDescent="0.3">
      <c r="J23" s="2" t="s">
        <v>95</v>
      </c>
      <c r="K23" s="2"/>
    </row>
    <row r="24" spans="10:11" x14ac:dyDescent="0.3">
      <c r="J24" s="2" t="s">
        <v>96</v>
      </c>
      <c r="K24" s="2"/>
    </row>
  </sheetData>
  <mergeCells count="4">
    <mergeCell ref="G12:H12"/>
    <mergeCell ref="G7:H7"/>
    <mergeCell ref="I7:K7"/>
    <mergeCell ref="J12:K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pivot table</vt:lpstr>
      <vt:lpstr>data analysis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2026-09-24T20:58:13Z</dcterms:modified>
</cp:coreProperties>
</file>