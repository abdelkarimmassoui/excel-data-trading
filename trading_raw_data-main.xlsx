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8805F338-B126-475B-88E9-F7C32CFAB30D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8" i="2" l="1"/>
  <c r="G18" i="2"/>
  <c r="D18" i="2"/>
  <c r="I15" i="2"/>
  <c r="I16" i="2"/>
  <c r="I17" i="2"/>
  <c r="D17" i="2"/>
  <c r="E17" i="2"/>
  <c r="F17" i="2"/>
  <c r="G17" i="2"/>
  <c r="E18" i="2"/>
  <c r="F18" i="2"/>
  <c r="D15" i="2"/>
  <c r="E15" i="2"/>
  <c r="F15" i="2"/>
  <c r="G15" i="2"/>
  <c r="D16" i="2"/>
  <c r="E16" i="2"/>
  <c r="F16" i="2"/>
  <c r="G16" i="2"/>
  <c r="H16" i="2" s="1"/>
  <c r="D12" i="2"/>
  <c r="D11" i="2"/>
  <c r="D10" i="2"/>
  <c r="D9" i="2"/>
  <c r="D8" i="2"/>
  <c r="D7" i="2"/>
  <c r="D6" i="2"/>
  <c r="D5" i="2"/>
  <c r="H18" i="2" l="1"/>
  <c r="H15" i="2"/>
  <c r="H17" i="2"/>
</calcChain>
</file>

<file path=xl/sharedStrings.xml><?xml version="1.0" encoding="utf-8"?>
<sst xmlns="http://schemas.openxmlformats.org/spreadsheetml/2006/main" count="428" uniqueCount="31">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</sst>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K8" sqref="K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I19"/>
  <sheetViews>
    <sheetView tabSelected="1" workbookViewId="0">
      <selection activeCell="J24" sqref="J24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</cols>
  <sheetData>
    <row r="5" spans="3:9" x14ac:dyDescent="0.3">
      <c r="C5" s="3" t="s">
        <v>19</v>
      </c>
      <c r="D5" s="2">
        <f>COUNT(Table1[TradeID])</f>
        <v>100</v>
      </c>
    </row>
    <row r="6" spans="3:9" x14ac:dyDescent="0.3">
      <c r="C6" s="3" t="s">
        <v>20</v>
      </c>
      <c r="D6" s="2">
        <f>SUM(Table1[Profit])</f>
        <v>12225</v>
      </c>
    </row>
    <row r="7" spans="3:9" x14ac:dyDescent="0.3">
      <c r="C7" s="3" t="s">
        <v>21</v>
      </c>
      <c r="D7" s="2">
        <f>AVERAGE(Table1[Profit])</f>
        <v>122.25</v>
      </c>
    </row>
    <row r="8" spans="3:9" x14ac:dyDescent="0.3">
      <c r="C8" s="3" t="s">
        <v>22</v>
      </c>
      <c r="D8" s="2">
        <f>MAX(Table1[Profit])</f>
        <v>750</v>
      </c>
    </row>
    <row r="9" spans="3:9" x14ac:dyDescent="0.3">
      <c r="C9" s="3" t="s">
        <v>23</v>
      </c>
      <c r="D9" s="2">
        <f>MIN(Table1[Profit])</f>
        <v>-375</v>
      </c>
    </row>
    <row r="10" spans="3:9" x14ac:dyDescent="0.3">
      <c r="C10" s="3" t="s">
        <v>24</v>
      </c>
      <c r="D10" s="2">
        <f>COUNTIF(Table1[Result],"Win")</f>
        <v>59</v>
      </c>
    </row>
    <row r="11" spans="3:9" x14ac:dyDescent="0.3">
      <c r="C11" s="3" t="s">
        <v>25</v>
      </c>
      <c r="D11" s="2">
        <f>COUNTIF(Table1[Result],"Loss")</f>
        <v>41</v>
      </c>
    </row>
    <row r="12" spans="3:9" x14ac:dyDescent="0.3">
      <c r="C12" s="3" t="s">
        <v>26</v>
      </c>
      <c r="D12" s="2">
        <f>D10/D5</f>
        <v>0.59</v>
      </c>
    </row>
    <row r="14" spans="3:9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</row>
    <row r="15" spans="3:9" x14ac:dyDescent="0.3">
      <c r="C15" s="3" t="s">
        <v>18</v>
      </c>
      <c r="D15" s="2">
        <f>COUNTIF(Table1[Pair],C15)</f>
        <v>18</v>
      </c>
      <c r="E15" s="4">
        <f>SUMIF(Table1[Pair],C15,Table1[Profit])</f>
        <v>575</v>
      </c>
      <c r="F15" s="5">
        <f>AVERAGEIF(Table1[Pair],C15,Table1[Profit])</f>
        <v>31.944444444444443</v>
      </c>
      <c r="G15" s="2">
        <f>COUNTIFS(Table1[Pair],C15,Table1[Result],"Win")</f>
        <v>8</v>
      </c>
      <c r="H15" s="6">
        <f>G15/D15</f>
        <v>0.44444444444444442</v>
      </c>
      <c r="I15" s="2">
        <f>COUNTIFS(Table1[Pair],C15,Table1[Result],"Loss")</f>
        <v>10</v>
      </c>
    </row>
    <row r="16" spans="3:9" x14ac:dyDescent="0.3">
      <c r="C16" s="3" t="s">
        <v>13</v>
      </c>
      <c r="D16" s="2">
        <f>COUNTIF(Table1[Pair],C16)</f>
        <v>27</v>
      </c>
      <c r="E16" s="4">
        <f>SUMIF(Table1[Pair],C16,Table1[Profit])</f>
        <v>1925</v>
      </c>
      <c r="F16" s="5">
        <f>AVERAGEIF(Table1[Pair],C16,Table1[Profit])</f>
        <v>71.296296296296291</v>
      </c>
      <c r="G16" s="2">
        <f>COUNTIFS(Table1[Pair],C16,Table1[Result],"Win")</f>
        <v>16</v>
      </c>
      <c r="H16" s="6">
        <f>G16/D16</f>
        <v>0.59259259259259256</v>
      </c>
      <c r="I16" s="2">
        <f>COUNTIFS(Table1[Pair],C16,Table1[Result],"Loss")</f>
        <v>11</v>
      </c>
    </row>
    <row r="17" spans="3:9" x14ac:dyDescent="0.3">
      <c r="C17" s="3" t="s">
        <v>9</v>
      </c>
      <c r="D17" s="2">
        <f>COUNTIF(Table1[Pair],C17)</f>
        <v>22</v>
      </c>
      <c r="E17" s="4">
        <f>SUMIF(Table1[Pair],C17,Table1[Profit])</f>
        <v>2900</v>
      </c>
      <c r="F17" s="5">
        <f>AVERAGEIF(Table1[Pair],C17,Table1[Profit])</f>
        <v>131.81818181818181</v>
      </c>
      <c r="G17" s="2">
        <f>COUNTIFS(Table1[Pair],C17,Table1[Result],"Win")</f>
        <v>12</v>
      </c>
      <c r="H17" s="6">
        <f>G17/D17</f>
        <v>0.54545454545454541</v>
      </c>
      <c r="I17" s="2">
        <f>COUNTIFS(Table1[Pair],C17,Table1[Result],"Loss")</f>
        <v>10</v>
      </c>
    </row>
    <row r="18" spans="3:9" x14ac:dyDescent="0.3">
      <c r="C18" s="3" t="s">
        <v>15</v>
      </c>
      <c r="D18" s="2">
        <f>COUNTIF(Table1[Pair],C18)</f>
        <v>33</v>
      </c>
      <c r="E18" s="4">
        <f>SUMIF(Table1[Pair],C18,Table1[Profit])</f>
        <v>6825</v>
      </c>
      <c r="F18" s="5">
        <f>AVERAGEIF(Table1[Pair],C18,Table1[Profit])</f>
        <v>206.81818181818181</v>
      </c>
      <c r="G18" s="2">
        <f>COUNTIFS(Table1[Pair],C18,Table1[Result],"Win")</f>
        <v>23</v>
      </c>
      <c r="H18" s="6">
        <f>G18/D18</f>
        <v>0.69696969696969702</v>
      </c>
      <c r="I18" s="2">
        <f>COUNTIFS(Table1[Pair],C18,Table1[Result],"Loss")</f>
        <v>10</v>
      </c>
    </row>
    <row r="19" spans="3:9" x14ac:dyDescent="0.3">
      <c r="I19" s="7"/>
    </row>
  </sheetData>
  <sortState xmlns:xlrd2="http://schemas.microsoft.com/office/spreadsheetml/2017/richdata2" ref="C15:H18">
    <sortCondition ref="E15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2026-09-12T17:38:46Z</dcterms:modified>
</cp:coreProperties>
</file>