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FC1336B1-7DF9-4873-94F1-4E2918A7A853}" xr6:coauthVersionLast="47" xr6:coauthVersionMax="47" xr10:uidLastSave="{00000000-0000-0000-0000-000000000000}"/>
  <bookViews>
    <workbookView xWindow="-108" yWindow="-108" windowWidth="23256" windowHeight="12456" firstSheet="1" activeTab="4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functions" sheetId="6" r:id="rId5"/>
    <sheet name="data cleaning " sheetId="3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6" l="1"/>
  <c r="D7" i="6"/>
  <c r="D8" i="6"/>
  <c r="D9" i="6"/>
  <c r="D10" i="6"/>
  <c r="D11" i="6"/>
  <c r="D12" i="6"/>
  <c r="D13" i="6"/>
  <c r="D5" i="6"/>
  <c r="E5" i="6" s="1"/>
  <c r="I18" i="6"/>
  <c r="I10" i="6" a="1"/>
  <c r="I10" i="6" s="1"/>
  <c r="I5" i="6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<sst xmlns="http://schemas.openxmlformats.org/spreadsheetml/2006/main" count="829" uniqueCount="103">
  <si>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</si>
  <si>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</si>
  <si>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</si>
  <si>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</si>
  <si>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</si>
  <si>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</si>
  <si>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</si>
  <si>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</si>
  <si>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</si>
  <si>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</si>
  <si>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</si>
  <si>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</si>
  <si>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</si>
  <si>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</si>
  <si>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</si>
  <si>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</si>
  <si>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</si>
  <si>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</si>
  <si>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</si>
  <si>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</si>
  <si>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</si>
  <si>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</si>
  <si>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</si>
  <si>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</si>
  <si>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</si>
  <si>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</si>
  <si>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</si>
  <si>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</si>
  <si>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</si>
  <si>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</si>
  <si>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</si>
  <si>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</si>
  <si>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</si>
  <si>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</si>
  <si>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</si>
  <si>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</si>
  <si>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</si>
  <si>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</si>
  <si>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</si>
  <si>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</si>
  <si>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</si>
  <si>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</si>
  <si>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</si>
  <si>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</si>
  <si>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</si>
  <si>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</si>
  <si>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</si>
  <si>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</si>
  <si>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</si>
  <si>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</si>
  <si>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</si>
  <si>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</si>
  <si>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</si>
  <si>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</si>
  <si>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</si>
  <si>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</si>
  <si>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</si>
  <si>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</si>
  <si>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</si>
  <si>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</si>
  <si>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</si>
  <si>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</si>
  <si>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</si>
  <si>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</si>
  <si>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</si>
  <si>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</si>
  <si>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</si>
  <si>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</si>
  <si>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</si>
  <si>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</si>
  <si>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</si>
  <si>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</si>
  <si>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</si>
  <si>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</si>
  <si>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</si>
  <si>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</si>
  <si>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</si>
  <si>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</si>
  <si>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</si>
  <si>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</si>
  <si>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</si>
  <si>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</si>
  <si>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Sum of Profit</t>
  </si>
  <si>
    <t>London Total</t>
  </si>
  <si>
    <t>New York Total</t>
  </si>
  <si>
    <t>name</t>
  </si>
  <si>
    <t>age</t>
  </si>
  <si>
    <t>country</t>
  </si>
  <si>
    <t xml:space="preserve">id </t>
  </si>
  <si>
    <t>aba</t>
  </si>
  <si>
    <t>sisa</t>
  </si>
  <si>
    <t>kola</t>
  </si>
  <si>
    <t xml:space="preserve">jihan </t>
  </si>
  <si>
    <t>hana</t>
  </si>
  <si>
    <t>bila</t>
  </si>
  <si>
    <t>oha</t>
  </si>
  <si>
    <t>fifa</t>
  </si>
  <si>
    <t>fofo</t>
  </si>
  <si>
    <t>match function</t>
  </si>
  <si>
    <t>index  function</t>
  </si>
  <si>
    <t>NAME</t>
  </si>
  <si>
    <t>h look up</t>
  </si>
  <si>
    <t>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</si>
</sst>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16" fillId="33" borderId="10" xfId="0" applyFont="1" applyFill="1" applyBorder="1"/>
    <xf numFmtId="0" fontId="0" fillId="34" borderId="10" xfId="0" applyFill="1" applyBorder="1"/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3" borderId="1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16" fillId="33" borderId="11" xfId="0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13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C13" sqref="C13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8" x14ac:dyDescent="0.3">
      <c r="A3" s="19" t="s">
        <v>82</v>
      </c>
      <c r="B3" s="19" t="s">
        <v>72</v>
      </c>
    </row>
    <row r="4" spans="1:8" x14ac:dyDescent="0.3">
      <c r="B4" t="s">
        <v>10</v>
      </c>
      <c r="D4" t="s">
        <v>83</v>
      </c>
      <c r="E4" t="s">
        <v>16</v>
      </c>
      <c r="G4" t="s">
        <v>84</v>
      </c>
      <c r="H4" t="s">
        <v>71</v>
      </c>
    </row>
    <row r="5" spans="1:8" x14ac:dyDescent="0.3">
      <c r="A5" s="19" t="s">
        <v>73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-450</v>
      </c>
      <c r="C6" s="22">
        <v>2425</v>
      </c>
      <c r="D6" s="22">
        <v>1975</v>
      </c>
      <c r="E6" s="22">
        <v>-350</v>
      </c>
      <c r="F6" s="22">
        <v>1275</v>
      </c>
      <c r="G6" s="22">
        <v>925</v>
      </c>
      <c r="H6" s="22">
        <v>2900</v>
      </c>
    </row>
    <row r="7" spans="1:8" x14ac:dyDescent="0.3">
      <c r="A7" s="20" t="s">
        <v>15</v>
      </c>
      <c r="B7" s="22">
        <v>-475</v>
      </c>
      <c r="C7" s="22">
        <v>3550</v>
      </c>
      <c r="D7" s="22">
        <v>3075</v>
      </c>
      <c r="E7" s="22">
        <v>-675</v>
      </c>
      <c r="F7" s="22">
        <v>4425</v>
      </c>
      <c r="G7" s="22">
        <v>3750</v>
      </c>
      <c r="H7" s="22">
        <v>6825</v>
      </c>
    </row>
    <row r="8" spans="1:8" x14ac:dyDescent="0.3">
      <c r="A8" s="20" t="s">
        <v>13</v>
      </c>
      <c r="B8" s="22">
        <v>-775</v>
      </c>
      <c r="C8" s="22">
        <v>2050</v>
      </c>
      <c r="D8" s="22">
        <v>1275</v>
      </c>
      <c r="E8" s="22">
        <v>-1250</v>
      </c>
      <c r="F8" s="22">
        <v>1900</v>
      </c>
      <c r="G8" s="22">
        <v>650</v>
      </c>
      <c r="H8" s="22">
        <v>1925</v>
      </c>
    </row>
    <row r="9" spans="1:8" x14ac:dyDescent="0.3">
      <c r="A9" s="20" t="s">
        <v>18</v>
      </c>
      <c r="B9" s="22">
        <v>-1175</v>
      </c>
      <c r="C9" s="22">
        <v>1300</v>
      </c>
      <c r="D9" s="22">
        <v>125</v>
      </c>
      <c r="E9" s="22">
        <v>-250</v>
      </c>
      <c r="F9" s="22">
        <v>700</v>
      </c>
      <c r="G9" s="22">
        <v>450</v>
      </c>
      <c r="H9" s="22">
        <v>575</v>
      </c>
    </row>
    <row r="10" spans="1:8" x14ac:dyDescent="0.3">
      <c r="A10" s="20" t="s">
        <v>71</v>
      </c>
      <c r="B10" s="21">
        <v>-2875</v>
      </c>
      <c r="C10" s="21">
        <v>9325</v>
      </c>
      <c r="D10" s="21">
        <v>6450</v>
      </c>
      <c r="E10" s="21">
        <v>-2525</v>
      </c>
      <c r="F10" s="21">
        <v>8300</v>
      </c>
      <c r="G10" s="21">
        <v>5775</v>
      </c>
      <c r="H10" s="21">
        <v>12225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B10" workbookViewId="0">
      <selection activeCell="C41" sqref="C4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N15" sqref="N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7" t="s">
        <v>63</v>
      </c>
      <c r="O6" s="27"/>
      <c r="P6" s="27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151-4306-4E94-877E-3E0A5CCF7860}">
  <dimension ref="A3:M19"/>
  <sheetViews>
    <sheetView tabSelected="1" workbookViewId="0">
      <selection activeCell="E11" sqref="E11"/>
    </sheetView>
  </sheetViews>
  <sheetFormatPr defaultRowHeight="14.4" x14ac:dyDescent="0.3"/>
  <cols>
    <col min="9" max="9" width="15.88671875" customWidth="1"/>
    <col min="10" max="10" width="14" customWidth="1"/>
  </cols>
  <sheetData>
    <row r="3" spans="1:13" x14ac:dyDescent="0.3">
      <c r="I3" s="27" t="s">
        <v>98</v>
      </c>
      <c r="J3" s="27"/>
    </row>
    <row r="4" spans="1:13" x14ac:dyDescent="0.3">
      <c r="A4" s="24" t="s">
        <v>88</v>
      </c>
      <c r="B4" s="24" t="s">
        <v>85</v>
      </c>
      <c r="C4" s="24" t="s">
        <v>86</v>
      </c>
      <c r="D4" s="24" t="s">
        <v>87</v>
      </c>
      <c r="E4" s="30" t="s">
        <v>102</v>
      </c>
      <c r="J4" t="s">
        <v>60</v>
      </c>
    </row>
    <row r="5" spans="1:13" x14ac:dyDescent="0.3">
      <c r="A5" s="2">
        <v>1000</v>
      </c>
      <c r="B5" s="2" t="s">
        <v>89</v>
      </c>
      <c r="C5" s="2">
        <v>12</v>
      </c>
      <c r="D5" s="2" t="str">
        <f>IF(C5&gt;20,"kbir","sghir")</f>
        <v>sghir</v>
      </c>
      <c r="E5" t="str">
        <f>IF(D5&gt;20,"")</f>
        <v/>
      </c>
      <c r="I5">
        <f>MATCH(J5,A5:A13,0)</f>
        <v>6</v>
      </c>
      <c r="J5">
        <v>6000</v>
      </c>
    </row>
    <row r="6" spans="1:13" x14ac:dyDescent="0.3">
      <c r="A6" s="2">
        <v>2000</v>
      </c>
      <c r="B6" s="2" t="s">
        <v>90</v>
      </c>
      <c r="C6" s="2">
        <v>13</v>
      </c>
      <c r="D6" s="2" t="str">
        <f t="shared" ref="D6:D13" si="0">IF(C6&gt;20,"kbir","sghir")</f>
        <v>sghir</v>
      </c>
    </row>
    <row r="7" spans="1:13" x14ac:dyDescent="0.3">
      <c r="A7" s="2">
        <v>3000</v>
      </c>
      <c r="B7" s="2" t="s">
        <v>91</v>
      </c>
      <c r="C7" s="2">
        <v>27</v>
      </c>
      <c r="D7" s="2" t="str">
        <f t="shared" si="0"/>
        <v>kbir</v>
      </c>
    </row>
    <row r="8" spans="1:13" x14ac:dyDescent="0.3">
      <c r="A8" s="2">
        <v>4000</v>
      </c>
      <c r="B8" s="2" t="s">
        <v>92</v>
      </c>
      <c r="C8" s="2">
        <v>38</v>
      </c>
      <c r="D8" s="2" t="str">
        <f t="shared" si="0"/>
        <v>kbir</v>
      </c>
    </row>
    <row r="9" spans="1:13" x14ac:dyDescent="0.3">
      <c r="A9" s="2">
        <v>5000</v>
      </c>
      <c r="B9" s="2" t="s">
        <v>93</v>
      </c>
      <c r="C9" s="2">
        <v>39</v>
      </c>
      <c r="D9" s="2" t="str">
        <f t="shared" si="0"/>
        <v>kbir</v>
      </c>
      <c r="I9" s="27" t="s">
        <v>99</v>
      </c>
      <c r="J9" s="27"/>
    </row>
    <row r="10" spans="1:13" x14ac:dyDescent="0.3">
      <c r="A10" s="2">
        <v>6000</v>
      </c>
      <c r="B10" s="2" t="s">
        <v>94</v>
      </c>
      <c r="C10" s="2">
        <v>26</v>
      </c>
      <c r="D10" s="2" t="str">
        <f t="shared" si="0"/>
        <v>kbir</v>
      </c>
      <c r="I10" cm="1">
        <f t="array" ref="I10">INDEX(A5:A13,J10)</f>
        <v>4000</v>
      </c>
      <c r="J10">
        <v>4</v>
      </c>
    </row>
    <row r="11" spans="1:13" x14ac:dyDescent="0.3">
      <c r="A11" s="2">
        <v>7000</v>
      </c>
      <c r="B11" s="2" t="s">
        <v>95</v>
      </c>
      <c r="C11" s="2">
        <v>44</v>
      </c>
      <c r="D11" s="2" t="str">
        <f t="shared" si="0"/>
        <v>kbir</v>
      </c>
    </row>
    <row r="12" spans="1:13" x14ac:dyDescent="0.3">
      <c r="A12" s="2">
        <v>8000</v>
      </c>
      <c r="B12" s="2" t="s">
        <v>96</v>
      </c>
      <c r="C12" s="2">
        <v>87</v>
      </c>
      <c r="D12" s="2" t="str">
        <f t="shared" si="0"/>
        <v>kbir</v>
      </c>
    </row>
    <row r="13" spans="1:13" x14ac:dyDescent="0.3">
      <c r="A13" s="2">
        <v>9000</v>
      </c>
      <c r="B13" s="2" t="s">
        <v>97</v>
      </c>
      <c r="C13" s="2">
        <v>56</v>
      </c>
      <c r="D13" s="2" t="str">
        <f t="shared" si="0"/>
        <v>kbir</v>
      </c>
    </row>
    <row r="16" spans="1:13" x14ac:dyDescent="0.3">
      <c r="K16" s="27" t="s">
        <v>101</v>
      </c>
      <c r="L16" s="27"/>
      <c r="M16" s="27"/>
    </row>
    <row r="17" spans="9:12" x14ac:dyDescent="0.3">
      <c r="I17" s="25" t="s">
        <v>90</v>
      </c>
      <c r="J17" s="26" t="s">
        <v>100</v>
      </c>
      <c r="K17" s="29"/>
      <c r="L17" s="27"/>
    </row>
    <row r="18" spans="9:12" x14ac:dyDescent="0.3">
      <c r="I18" s="28" t="e">
        <f>INDEX(A5:D13,MATCH(I17,B5:B13,0),MATCH(C4,C5:C13))</f>
        <v>#N/A</v>
      </c>
      <c r="J18" s="28"/>
    </row>
    <row r="19" spans="9:12" x14ac:dyDescent="0.3">
      <c r="I19" t="s">
        <v>90</v>
      </c>
    </row>
  </sheetData>
  <mergeCells count="5">
    <mergeCell ref="I3:J3"/>
    <mergeCell ref="I9:J9"/>
    <mergeCell ref="I18:J18"/>
    <mergeCell ref="K16:M16"/>
    <mergeCell ref="K17:L17"/>
  </mergeCells>
  <dataValidations count="1">
    <dataValidation type="list" allowBlank="1" showInputMessage="1" showErrorMessage="1" sqref="J5" xr:uid="{95AF04DE-4D2C-4A78-97A7-E1ED043615F0}">
      <formula1>$A$5:$A$13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pivot table</vt:lpstr>
      <vt:lpstr>data analysis</vt:lpstr>
      <vt:lpstr>trading_raw_data2</vt:lpstr>
      <vt:lpstr>functions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2026-09-24T19:45:38Z</dcterms:modified>
</cp:coreProperties>
</file>