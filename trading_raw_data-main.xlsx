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3E09EC08-65B2-404F-A32F-3552016C0A73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6" i="2" l="1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2" i="2" s="1"/>
  <c r="D11" i="2"/>
  <c r="D18" i="2"/>
  <c r="F18" i="2"/>
  <c r="G18" i="2"/>
  <c r="H18" i="2" s="1"/>
  <c r="I18" i="2"/>
  <c r="D17" i="2"/>
  <c r="F17" i="2"/>
  <c r="G17" i="2"/>
  <c r="H17" i="2" s="1"/>
  <c r="I17" i="2"/>
  <c r="D16" i="2"/>
  <c r="F16" i="2"/>
  <c r="G16" i="2"/>
  <c r="I16" i="2"/>
  <c r="D15" i="2"/>
  <c r="E15" i="2"/>
  <c r="J15" i="2" s="1"/>
  <c r="F15" i="2"/>
  <c r="G15" i="2"/>
  <c r="H15" i="2" s="1"/>
  <c r="I15" i="2"/>
  <c r="D5" i="2"/>
  <c r="H16" i="2" l="1"/>
</calcChain>
</file>

<file path=xl/sharedStrings.xml><?xml version="1.0" encoding="utf-8"?>
<sst xmlns="http://schemas.openxmlformats.org/spreadsheetml/2006/main" count="430" uniqueCount="33">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</sst>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33" borderId="11" xfId="0" applyFill="1" applyBorder="1"/>
    <xf numFmtId="0" fontId="0" fillId="0" borderId="11" xfId="0" applyFill="1" applyBorder="1"/>
    <xf numFmtId="1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K8" sqref="K8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K19"/>
  <sheetViews>
    <sheetView tabSelected="1" workbookViewId="0">
      <selection activeCell="L14" sqref="L14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</cols>
  <sheetData>
    <row r="5" spans="3:11" x14ac:dyDescent="0.3">
      <c r="C5" s="3" t="s">
        <v>19</v>
      </c>
      <c r="D5" s="2">
        <f>COUNT(Table1[TradeID])</f>
        <v>100</v>
      </c>
    </row>
    <row r="6" spans="3:11" x14ac:dyDescent="0.3">
      <c r="C6" s="3" t="s">
        <v>20</v>
      </c>
      <c r="D6" s="2">
        <f>SUM(Table1[Profit])</f>
        <v>12225</v>
      </c>
    </row>
    <row r="7" spans="3:11" x14ac:dyDescent="0.3">
      <c r="C7" s="3" t="s">
        <v>21</v>
      </c>
      <c r="D7" s="2">
        <f>AVERAGE(Table1[Profit])</f>
        <v>122.25</v>
      </c>
    </row>
    <row r="8" spans="3:11" x14ac:dyDescent="0.3">
      <c r="C8" s="3" t="s">
        <v>22</v>
      </c>
      <c r="D8" s="2">
        <f>MAX(Table1[Profit])</f>
        <v>750</v>
      </c>
    </row>
    <row r="9" spans="3:11" x14ac:dyDescent="0.3">
      <c r="C9" s="3" t="s">
        <v>23</v>
      </c>
      <c r="D9" s="2">
        <f>MIN(Table1[Profit])</f>
        <v>-375</v>
      </c>
    </row>
    <row r="10" spans="3:11" x14ac:dyDescent="0.3">
      <c r="C10" s="3" t="s">
        <v>24</v>
      </c>
      <c r="D10" s="2">
        <f>COUNTIF(Table1[Result],"Win")</f>
        <v>59</v>
      </c>
    </row>
    <row r="11" spans="3:11" x14ac:dyDescent="0.3">
      <c r="C11" s="3" t="s">
        <v>25</v>
      </c>
      <c r="D11" s="2">
        <f>COUNTIF(Table1[Result],"Loss")</f>
        <v>41</v>
      </c>
    </row>
    <row r="12" spans="3:11" x14ac:dyDescent="0.3">
      <c r="C12" s="3" t="s">
        <v>26</v>
      </c>
      <c r="D12" s="2">
        <f>D10/D5</f>
        <v>0.59</v>
      </c>
    </row>
    <row r="14" spans="3:11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7" t="s">
        <v>32</v>
      </c>
    </row>
    <row r="15" spans="3:11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9">
        <f>E15/$D$6</f>
        <v>0.55828220858895705</v>
      </c>
      <c r="K15">
        <f>AVERAGEIFS(Table1[Profit],Table1[Pair],C15,Table1[Result],"Win")</f>
        <v>346.73913043478262</v>
      </c>
    </row>
    <row r="16" spans="3:11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9">
        <f>E16/$D$6</f>
        <v>0.23721881390593047</v>
      </c>
      <c r="K16">
        <f>AVERAGEIFS(Table1[Profit],Table1[Pair],C16,Table1[Result],"Win")</f>
        <v>308.33333333333331</v>
      </c>
    </row>
    <row r="17" spans="3:11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9">
        <f>E17/$D$6</f>
        <v>0.15746421267893659</v>
      </c>
      <c r="K17">
        <f>AVERAGEIFS(Table1[Profit],Table1[Pair],C17,Table1[Result],"Win")</f>
        <v>246.875</v>
      </c>
    </row>
    <row r="18" spans="3:11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9">
        <f>E18/$D$6</f>
        <v>4.7034764826175871E-2</v>
      </c>
      <c r="K18">
        <f>AVERAGEIFS(Table1[Profit],Table1[Pair],C18,Table1[Result],"Win")</f>
        <v>250</v>
      </c>
    </row>
    <row r="19" spans="3:11" x14ac:dyDescent="0.3">
      <c r="I19" s="8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2026-09-12T18:07:53Z</dcterms:modified>
</cp:coreProperties>
</file>