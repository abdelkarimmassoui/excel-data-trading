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8152FD41-AF95-4D72-98B6-7D9170B84CA2}" xr6:coauthVersionLast="47" xr6:coauthVersionMax="47" xr10:uidLastSave="{00000000-0000-0000-0000-000000000000}"/>
  <bookViews>
    <workbookView xWindow="11424" yWindow="0" windowWidth="11712" windowHeight="12336" firstSheet="1" activeTab="2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5" i="2" l="1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<sst xmlns="http://schemas.openxmlformats.org/spreadsheetml/2006/main" count="804" uniqueCount="81">
  <si>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</si>
  <si>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</si>
  <si>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</si>
  <si>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</si>
  <si>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</si>
  <si>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</si>
  <si>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</si>
  <si>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</si>
  <si>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</si>
  <si>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</si>
  <si>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</si>
  <si>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</si>
  <si>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</si>
  <si>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</si>
  <si>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</si>
  <si>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</si>
  <si>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</si>
  <si>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</si>
  <si>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</si>
  <si>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</si>
  <si>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</si>
  <si>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</si>
  <si>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</si>
  <si>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</si>
  <si>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</si>
  <si>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</si>
  <si>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</si>
  <si>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</si>
  <si>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</si>
  <si>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</si>
  <si>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</si>
  <si>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</si>
  <si>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</si>
  <si>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</si>
  <si>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</si>
  <si>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</si>
  <si>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</si>
  <si>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</si>
  <si>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</si>
  <si>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</si>
  <si>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</si>
  <si>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</si>
  <si>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</si>
  <si>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</si>
  <si>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</si>
  <si>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</si>
  <si>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</si>
  <si>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</si>
  <si>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</si>
  <si>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</si>
  <si>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</si>
  <si>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</si>
  <si>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</si>
  <si>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</si>
  <si>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</si>
  <si>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</si>
  <si>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</si>
  <si>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</si>
  <si>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</si>
  <si>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</si>
  <si>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</si>
  <si>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</si>
  <si>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</si>
  <si>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</si>
  <si>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</si>
  <si>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</si>
  <si>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</si>
  <si>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</si>
  <si>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</si>
  <si>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</si>
  <si>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</si>
  <si>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</si>
  <si>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Count of TradeID</t>
  </si>
  <si>
    <t>result column</t>
  </si>
  <si>
    <t>session rows</t>
  </si>
  <si>
    <t>GOOD</t>
  </si>
  <si>
    <t>REVIEW</t>
  </si>
  <si>
    <t>London Total</t>
  </si>
  <si>
    <t>New York Total</t>
  </si>
  <si>
    <t>LONDON WIN RATE</t>
  </si>
  <si>
    <t>NEW YORK WIN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</si>
</sst>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Count of TradeID" fld="0" subtotal="count" baseField="2" baseItem="1"/>
  </dataFields>
  <formats count="1">
    <format dxfId="13">
      <pivotArea collapsedLevelsAreSubtotals="1" fieldPosition="0">
        <references count="1">
          <reference field="2" count="0"/>
        </references>
      </pivotArea>
    </format>
  </formats>
  <chartFormats count="4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9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9" count="1" selected="0">
            <x v="1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9" count="1" selected="0">
            <x v="0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75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75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76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76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75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75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75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76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76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76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76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76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76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76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75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75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75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76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75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75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76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75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76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76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76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76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76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76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76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76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76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76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76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76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76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75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75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75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76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76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76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76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75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76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76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76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76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76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76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76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76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76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76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75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76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75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F9" sqref="F9"/>
    </sheetView>
  </sheetViews>
  <sheetFormatPr defaultRowHeight="14.4" x14ac:dyDescent="0.3"/>
  <cols>
    <col min="1" max="1" width="15.109375" bestFit="1" customWidth="1"/>
    <col min="2" max="2" width="14.5546875" bestFit="1" customWidth="1"/>
    <col min="3" max="3" width="4.21875" bestFit="1" customWidth="1"/>
    <col min="4" max="4" width="11.6640625" bestFit="1" customWidth="1"/>
    <col min="5" max="5" width="10.6640625" bestFit="1" customWidth="1"/>
    <col min="6" max="6" width="4.21875" bestFit="1" customWidth="1"/>
    <col min="7" max="7" width="13.44140625" bestFit="1" customWidth="1"/>
    <col min="8" max="8" width="10.6640625" bestFit="1" customWidth="1"/>
  </cols>
  <sheetData>
    <row r="3" spans="1:8" x14ac:dyDescent="0.3">
      <c r="A3" s="19" t="s">
        <v>72</v>
      </c>
      <c r="B3" s="19" t="s">
        <v>73</v>
      </c>
    </row>
    <row r="4" spans="1:8" x14ac:dyDescent="0.3">
      <c r="B4" t="s">
        <v>10</v>
      </c>
      <c r="D4" t="s">
        <v>77</v>
      </c>
      <c r="E4" t="s">
        <v>16</v>
      </c>
      <c r="G4" t="s">
        <v>78</v>
      </c>
      <c r="H4" t="s">
        <v>71</v>
      </c>
    </row>
    <row r="5" spans="1:8" x14ac:dyDescent="0.3">
      <c r="A5" s="19" t="s">
        <v>74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5</v>
      </c>
      <c r="C6" s="22">
        <v>9</v>
      </c>
      <c r="D6" s="22">
        <v>14</v>
      </c>
      <c r="E6" s="22">
        <v>5</v>
      </c>
      <c r="F6" s="22">
        <v>3</v>
      </c>
      <c r="G6" s="22">
        <v>8</v>
      </c>
      <c r="H6" s="22">
        <v>22</v>
      </c>
    </row>
    <row r="7" spans="1:8" x14ac:dyDescent="0.3">
      <c r="A7" s="20" t="s">
        <v>15</v>
      </c>
      <c r="B7" s="22">
        <v>5</v>
      </c>
      <c r="C7" s="22">
        <v>9</v>
      </c>
      <c r="D7" s="22">
        <v>14</v>
      </c>
      <c r="E7" s="22">
        <v>5</v>
      </c>
      <c r="F7" s="22">
        <v>14</v>
      </c>
      <c r="G7" s="22">
        <v>19</v>
      </c>
      <c r="H7" s="22">
        <v>33</v>
      </c>
    </row>
    <row r="8" spans="1:8" x14ac:dyDescent="0.3">
      <c r="A8" s="20" t="s">
        <v>13</v>
      </c>
      <c r="B8" s="22">
        <v>5</v>
      </c>
      <c r="C8" s="22">
        <v>10</v>
      </c>
      <c r="D8" s="22">
        <v>15</v>
      </c>
      <c r="E8" s="22">
        <v>6</v>
      </c>
      <c r="F8" s="22">
        <v>6</v>
      </c>
      <c r="G8" s="22">
        <v>12</v>
      </c>
      <c r="H8" s="22">
        <v>27</v>
      </c>
    </row>
    <row r="9" spans="1:8" x14ac:dyDescent="0.3">
      <c r="A9" s="20" t="s">
        <v>18</v>
      </c>
      <c r="B9" s="22">
        <v>8</v>
      </c>
      <c r="C9" s="22">
        <v>5</v>
      </c>
      <c r="D9" s="22">
        <v>13</v>
      </c>
      <c r="E9" s="22">
        <v>2</v>
      </c>
      <c r="F9" s="22">
        <v>3</v>
      </c>
      <c r="G9" s="22">
        <v>5</v>
      </c>
      <c r="H9" s="22">
        <v>18</v>
      </c>
    </row>
    <row r="10" spans="1:8" x14ac:dyDescent="0.3">
      <c r="A10" s="20" t="s">
        <v>71</v>
      </c>
      <c r="B10" s="21">
        <v>23</v>
      </c>
      <c r="C10" s="21">
        <v>33</v>
      </c>
      <c r="D10" s="21">
        <v>56</v>
      </c>
      <c r="E10" s="21">
        <v>18</v>
      </c>
      <c r="F10" s="21">
        <v>26</v>
      </c>
      <c r="G10" s="21">
        <v>44</v>
      </c>
      <c r="H10" s="21">
        <v>100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abSelected="1" topLeftCell="A12" workbookViewId="0">
      <selection activeCell="D34" sqref="B34:D34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4" x14ac:dyDescent="0.3">
      <c r="B34" s="3" t="s">
        <v>27</v>
      </c>
      <c r="C34" s="3" t="s">
        <v>79</v>
      </c>
      <c r="D34" s="3" t="s">
        <v>80</v>
      </c>
    </row>
    <row r="35" spans="2:4" x14ac:dyDescent="0.3">
      <c r="B35" s="2" t="s">
        <v>9</v>
      </c>
      <c r="C35" s="6">
        <f>9/14</f>
        <v>0.6428571428571429</v>
      </c>
      <c r="D35" s="6">
        <f>3/8</f>
        <v>0.375</v>
      </c>
    </row>
    <row r="36" spans="2:4" x14ac:dyDescent="0.3">
      <c r="B36" s="2" t="s">
        <v>15</v>
      </c>
      <c r="C36" s="6">
        <f>9/14</f>
        <v>0.6428571428571429</v>
      </c>
      <c r="D36" s="6">
        <f>14/19</f>
        <v>0.73684210526315785</v>
      </c>
    </row>
    <row r="37" spans="2:4" x14ac:dyDescent="0.3">
      <c r="B37" s="2" t="s">
        <v>13</v>
      </c>
      <c r="C37" s="6">
        <f>10/15</f>
        <v>0.66666666666666663</v>
      </c>
      <c r="D37" s="6">
        <f>6/12</f>
        <v>0.5</v>
      </c>
    </row>
    <row r="38" spans="2:4" x14ac:dyDescent="0.3">
      <c r="B38" s="2" t="s">
        <v>18</v>
      </c>
      <c r="C38" s="6">
        <f>5/13</f>
        <v>0.38461538461538464</v>
      </c>
      <c r="D38" s="6">
        <f>3/5</f>
        <v>0.6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N25" sqref="N2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3" t="s">
        <v>63</v>
      </c>
      <c r="O6" s="23"/>
      <c r="P6" s="23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data analysis</vt:lpstr>
      <vt:lpstr>trading_raw_data2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2026-09-22T15:23:22Z</dcterms:modified>
</cp:coreProperties>
</file>