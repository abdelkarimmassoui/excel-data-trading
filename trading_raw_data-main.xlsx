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219B7B83-7230-470C-A285-E8FA23D3B98D}" xr6:coauthVersionLast="47" xr6:coauthVersionMax="47" xr10:uidLastSave="{00000000-0000-0000-0000-000000000000}"/>
  <bookViews>
    <workbookView xWindow="-108" yWindow="-108" windowWidth="23256" windowHeight="12456" firstSheet="1" activeTab="6" xr2:uid="{29389193-7256-4448-99EA-708D1049F25F}"/>
  </bookViews>
  <sheets>
    <sheet name="Sheet1" sheetId="5" r:id="rId1"/>
    <sheet name="Sheet2" sheetId="7" r:id="rId2"/>
    <sheet name="Sheet3" sheetId="8" r:id="rId3"/>
    <sheet name="pivot table" sheetId="4" r:id="rId4"/>
    <sheet name="data analysis" sheetId="2" r:id="rId5"/>
    <sheet name="Sheet5" sheetId="11" r:id="rId6"/>
    <sheet name="pivot new data" sheetId="10" r:id="rId7"/>
    <sheet name="news data" sheetId="9" r:id="rId8"/>
    <sheet name="trading_raw_data2" sheetId="1" r:id="rId9"/>
    <sheet name="functions" sheetId="6" r:id="rId10"/>
    <sheet name="data cleaning " sheetId="3" r:id="rId11"/>
  </sheets>
  <definedNames>
    <definedName name="ExternalData_1" localSheetId="7" hidden="1">'news data'!$A$1:$K$101</definedName>
  </definedNames>
  <calcPr calcId="191029"/>
  <pivotCaches>
    <pivotCache cacheId="0" r:id="rId12"/>
    <pivotCache cacheId="2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6" i="6" l="1"/>
  <c r="G12" i="6"/>
  <c r="C6" i="6"/>
  <c r="C7" i="6"/>
  <c r="C8" i="6"/>
  <c r="C9" i="6"/>
  <c r="C10" i="6"/>
  <c r="C11" i="6"/>
  <c r="C12" i="6"/>
  <c r="C13" i="6"/>
  <c r="C5" i="6"/>
  <c r="D35" i="2"/>
  <c r="D38" i="2"/>
  <c r="C38" i="2"/>
  <c r="D37" i="2"/>
  <c r="C37" i="2"/>
  <c r="D36" i="2"/>
  <c r="C36" i="2"/>
  <c r="C35" i="2"/>
  <c r="X16" i="3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<sst xmlns="http://schemas.openxmlformats.org/spreadsheetml/2006/main" count="1490" uniqueCount="124">
  <si>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</si>
  <si>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</si>
  <si>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</si>
  <si>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</si>
  <si>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</si>
  <si>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</si>
  <si>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</si>
  <si>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</si>
  <si>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</si>
  <si>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</si>
  <si>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</si>
  <si>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</si>
  <si>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</si>
  <si>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</si>
  <si>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</si>
  <si>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</si>
  <si>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</si>
  <si>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</si>
  <si>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</si>
  <si>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</si>
  <si>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</si>
  <si>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</si>
  <si>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</si>
  <si>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</si>
  <si>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</si>
  <si>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</si>
  <si>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</si>
  <si>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</si>
  <si>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</si>
  <si>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</si>
  <si>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</si>
  <si>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</si>
  <si>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</si>
  <si>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</si>
  <si>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</si>
  <si>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</si>
  <si>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</si>
  <si>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</si>
  <si>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</si>
  <si>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</si>
  <si>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</si>
  <si>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</si>
  <si>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</si>
  <si>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</si>
  <si>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</si>
  <si>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</si>
  <si>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</si>
  <si>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</si>
  <si>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</si>
  <si>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</si>
  <si>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</si>
  <si>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</si>
  <si>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</si>
  <si>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</si>
  <si>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</si>
  <si>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</si>
  <si>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</si>
  <si>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</si>
  <si>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</si>
  <si>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</si>
  <si>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</si>
  <si>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</si>
  <si>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</si>
  <si>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</si>
  <si>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</si>
  <si>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</si>
  <si>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</si>
  <si>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</si>
  <si>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</si>
  <si>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</si>
  <si>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</si>
  <si>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Grand Total</t>
  </si>
  <si>
    <t>result column</t>
  </si>
  <si>
    <t>session rows</t>
  </si>
  <si>
    <t>GOOD</t>
  </si>
  <si>
    <t>REVIEW</t>
  </si>
  <si>
    <t>LONDON WIN RATE</t>
  </si>
  <si>
    <t>NEW YORK WIN RATE</t>
  </si>
  <si>
    <t>avg profit london</t>
  </si>
  <si>
    <t>avg profit new york</t>
  </si>
  <si>
    <t>avg  loss</t>
  </si>
  <si>
    <t>avg win</t>
  </si>
  <si>
    <t>Sum of Profit</t>
  </si>
  <si>
    <t>London Total</t>
  </si>
  <si>
    <t>New York Total</t>
  </si>
  <si>
    <t>name</t>
  </si>
  <si>
    <t>age</t>
  </si>
  <si>
    <t>country</t>
  </si>
  <si>
    <t>aba</t>
  </si>
  <si>
    <t>sisa</t>
  </si>
  <si>
    <t>kola</t>
  </si>
  <si>
    <t xml:space="preserve">jihan </t>
  </si>
  <si>
    <t>hana</t>
  </si>
  <si>
    <t>bila</t>
  </si>
  <si>
    <t>oha</t>
  </si>
  <si>
    <t>fifa</t>
  </si>
  <si>
    <t>fofo</t>
  </si>
  <si>
    <t>colum</t>
  </si>
  <si>
    <t>row</t>
  </si>
  <si>
    <t xml:space="preserve">h look up </t>
  </si>
  <si>
    <t>v look up</t>
  </si>
  <si>
    <t>Calculated Field</t>
  </si>
  <si>
    <t>Solve Order</t>
  </si>
  <si>
    <t>Field</t>
  </si>
  <si>
    <t>Formula</t>
  </si>
  <si>
    <t>Field1</t>
  </si>
  <si>
    <t>= 0</t>
  </si>
  <si>
    <t>Calculated Item</t>
  </si>
  <si>
    <t>Item</t>
  </si>
  <si>
    <t>Note:</t>
  </si>
  <si>
    <t>When a cell is updated by more than one formula,</t>
  </si>
  <si>
    <t>the value is set by the formula with the last solve order.</t>
  </si>
  <si>
    <t>To change the solve order for multiple calculated items or fields,</t>
  </si>
  <si>
    <t>on the Options tab, in the Calculations group, click Fields, Items, &amp; Sets, and then click Solve Order.</t>
  </si>
  <si>
    <t>Month Name</t>
  </si>
  <si>
    <t>May</t>
  </si>
  <si>
    <t>June</t>
  </si>
  <si>
    <t>January</t>
  </si>
  <si>
    <t>February</t>
  </si>
  <si>
    <t>March</t>
  </si>
  <si>
    <t>July</t>
  </si>
  <si>
    <t>April</t>
  </si>
  <si>
    <t>arba7</t>
  </si>
  <si>
    <t>month + 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</si>
</sst>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" fontId="0" fillId="0" borderId="0" xfId="0" applyNumberFormat="1"/>
    <xf numFmtId="1" fontId="0" fillId="33" borderId="10" xfId="0" applyNumberFormat="1" applyFill="1" applyBorder="1"/>
    <xf numFmtId="0" fontId="16" fillId="33" borderId="10" xfId="0" applyFont="1" applyFill="1" applyBorder="1"/>
    <xf numFmtId="0" fontId="0" fillId="0" borderId="0" xfId="0" applyAlignment="1">
      <alignment horizontal="center"/>
    </xf>
    <xf numFmtId="0" fontId="16" fillId="34" borderId="10" xfId="0" applyFont="1" applyFill="1" applyBorder="1"/>
    <xf numFmtId="0" fontId="18" fillId="0" borderId="0" xfId="0" applyFont="1"/>
    <xf numFmtId="0" fontId="16" fillId="0" borderId="12" xfId="0" applyFont="1" applyBorder="1"/>
    <xf numFmtId="0" fontId="0" fillId="0" borderId="0" xfId="0" applyAlignment="1">
      <alignment horizontal="center"/>
    </xf>
    <xf numFmtId="0" fontId="0" fillId="34" borderId="10" xfId="0" applyFill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8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1" formatCode="0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[trading_raw_data-main.xlsx]pivot new data!PivotTable1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new data'!$B$3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'pivot new data'!$A$4:$A$11</c:f>
              <c:strCache>
                <c:ptCount val="7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</c:strCache>
            </c:strRef>
          </c:cat>
          <c:val>
            <c:numRef>
              <c:f>'pivot new data'!$B$4:$B$11</c:f>
              <c:numCache>
                <c:formatCode>General</c:formatCode>
                <c:ptCount val="7"/>
                <c:pt idx="0">
                  <c:v>1500</c:v>
                </c:pt>
                <c:pt idx="1">
                  <c:v>800</c:v>
                </c:pt>
                <c:pt idx="2">
                  <c:v>1625</c:v>
                </c:pt>
                <c:pt idx="3">
                  <c:v>1075</c:v>
                </c:pt>
                <c:pt idx="4">
                  <c:v>3300</c:v>
                </c:pt>
                <c:pt idx="5">
                  <c:v>2700</c:v>
                </c:pt>
                <c:pt idx="6">
                  <c:v>1225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54-4EB9-BCB8-38954CAE6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776880"/>
        <c:axId val="2113269568"/>
      </c:barChart>
      <c:catAx>
        <c:axId val="5877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269568"/>
        <c:crosses val="autoZero"/>
        <c:auto val="1"/>
        <c:lblAlgn val="ctr"/>
        <c:lblOffset val="100"/>
        <c:noMultiLvlLbl val="0"/>
      </c:catAx>
      <c:valAx>
        <c:axId val="21132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7688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1">
        <a:lumMod val="95000"/>
        <a:lumOff val="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236220</xdr:colOff>
      <xdr:row>2</xdr:row>
      <xdr:rowOff>3810</xdr:rowOff>
    </xdr:from>
    <xdr:to>
      <xdr:col>16</xdr:col>
      <xdr:colOff>53340</xdr:colOff>
      <xdr:row>19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DA2408-637D-398F-E895-3FA752C2DC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 count="78">
        <d v="2026-05-22T00:00:00"/>
        <d v="2026-05-29T00:00:00"/>
        <d v="2026-05-26T00:00:00"/>
        <d v="2026-06-09T00:00:00"/>
        <d v="2026-01-19T00:00:00"/>
        <d v="2026-02-02T00:00:00"/>
        <d v="2026-03-10T00:00:00"/>
        <d v="2026-06-25T00:00:00"/>
        <d v="2026-03-20T00:00:00"/>
        <d v="2026-05-30T00:00:00"/>
        <d v="2026-01-31T00:00:00"/>
        <d v="2026-06-17T00:00:00"/>
        <d v="2026-03-26T00:00:00"/>
        <d v="2026-05-25T00:00:00"/>
        <d v="2026-02-06T00:00:00"/>
        <d v="2026-06-24T00:00:00"/>
        <d v="2026-01-12T00:00:00"/>
        <d v="2026-03-05T00:00:00"/>
        <d v="2026-05-07T00:00:00"/>
        <d v="2026-05-27T00:00:00"/>
        <d v="2026-01-11T00:00:00"/>
        <d v="2026-03-13T00:00:00"/>
        <d v="2026-03-07T00:00:00"/>
        <d v="2026-07-04T00:00:00"/>
        <d v="2026-05-09T00:00:00"/>
        <d v="2026-06-14T00:00:00"/>
        <d v="2026-03-12T00:00:00"/>
        <d v="2026-07-01T00:00:00"/>
        <d v="2026-01-08T00:00:00"/>
        <d v="2026-02-04T00:00:00"/>
        <d v="2026-04-13T00:00:00"/>
        <d v="2026-01-21T00:00:00"/>
        <d v="2026-04-23T00:00:00"/>
        <d v="2026-02-12T00:00:00"/>
        <d v="2026-04-30T00:00:00"/>
        <d v="2026-02-13T00:00:00"/>
        <d v="2026-06-29T00:00:00"/>
        <d v="2026-05-28T00:00:00"/>
        <d v="2026-06-01T00:00:00"/>
        <d v="2026-04-21T00:00:00"/>
        <d v="2026-06-04T00:00:00"/>
        <d v="2026-04-07T00:00:00"/>
        <d v="2026-03-14T00:00:00"/>
        <d v="2026-04-16T00:00:00"/>
        <d v="2026-03-18T00:00:00"/>
        <d v="2026-01-20T00:00:00"/>
        <d v="2026-05-23T00:00:00"/>
        <d v="2026-01-05T00:00:00"/>
        <d v="2026-06-18T00:00:00"/>
        <d v="2026-02-28T00:00:00"/>
        <d v="2026-06-30T00:00:00"/>
        <d v="2026-05-31T00:00:00"/>
        <d v="2026-04-08T00:00:00"/>
        <d v="2026-04-28T00:00:00"/>
        <d v="2026-05-18T00:00:00"/>
        <d v="2026-06-05T00:00:00"/>
        <d v="2026-02-23T00:00:00"/>
        <d v="2026-07-02T00:00:00"/>
        <d v="2026-04-05T00:00:00"/>
        <d v="2026-02-16T00:00:00"/>
        <d v="2026-01-25T00:00:00"/>
        <d v="2026-02-14T00:00:00"/>
        <d v="2026-02-01T00:00:00"/>
        <d v="2026-02-19T00:00:00"/>
        <d v="2026-05-04T00:00:00"/>
        <d v="2026-01-28T00:00:00"/>
        <d v="2026-04-19T00:00:00"/>
        <d v="2026-02-08T00:00:00"/>
        <d v="2026-05-02T00:00:00"/>
        <d v="2026-04-18T00:00:00"/>
        <d v="2026-03-15T00:00:00"/>
        <d v="2026-05-16T00:00:00"/>
        <d v="2026-01-13T00:00:00"/>
        <d v="2026-04-09T00:00:00"/>
        <d v="2026-06-07T00:00:00"/>
        <d v="2026-05-14T00:00:00"/>
        <d v="2026-03-30T00:00:00"/>
        <d v="2026-03-23T00:00:00"/>
      </sharedItems>
    </cacheField>
  </cacheFields>
  <extLst>
    <ext xmlns:x14="http://schemas.microsoft.com/office/spreadsheetml/2009/9/main" uri="{725AE2AE-9491-48be-B2B4-4EB974FC3084}">
      <x14:pivotCacheDefinition pivotCacheId="35793108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91.045935069444" createdVersion="8" refreshedVersion="8" minRefreshableVersion="3" recordCount="100" xr:uid="{4E2BDC0B-3833-4C4D-9329-C9412DD75479}">
  <cacheSource type="worksheet">
    <worksheetSource name="news_data"/>
  </cacheSource>
  <cacheFields count="11"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/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  <cacheField name="Month Name" numFmtId="0">
      <sharedItems count="7">
        <s v="May"/>
        <s v="June"/>
        <s v="January"/>
        <s v="February"/>
        <s v="March"/>
        <s v="July"/>
        <s v="April"/>
      </sharedItems>
    </cacheField>
  </cacheFields>
  <extLst>
    <ext xmlns:x14="http://schemas.microsoft.com/office/spreadsheetml/2009/9/main" uri="{725AE2AE-9491-48be-B2B4-4EB974FC3084}">
      <x14:pivotCacheDefinition pivotCacheId="19714156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x v="0"/>
  </r>
  <r>
    <n v="80"/>
    <n v="10006"/>
    <x v="0"/>
    <x v="0"/>
    <s v="Sell"/>
    <n v="600"/>
    <n v="3"/>
    <s v="GOOD"/>
    <n v="200"/>
    <x v="0"/>
    <x v="1"/>
  </r>
  <r>
    <n v="16"/>
    <n v="10006"/>
    <x v="0"/>
    <x v="1"/>
    <s v="Sell"/>
    <n v="500"/>
    <n v="2"/>
    <s v="GOOD"/>
    <n v="250"/>
    <x v="0"/>
    <x v="2"/>
  </r>
  <r>
    <n v="78"/>
    <n v="10001"/>
    <x v="0"/>
    <x v="1"/>
    <s v="Sell"/>
    <n v="500"/>
    <n v="2"/>
    <s v="GOOD"/>
    <n v="250"/>
    <x v="0"/>
    <x v="3"/>
  </r>
  <r>
    <n v="35"/>
    <n v="10005"/>
    <x v="0"/>
    <x v="1"/>
    <s v="Buy"/>
    <n v="375"/>
    <n v="1.5"/>
    <s v="REVIEW"/>
    <n v="250"/>
    <x v="0"/>
    <x v="4"/>
  </r>
  <r>
    <n v="45"/>
    <n v="10003"/>
    <x v="0"/>
    <x v="1"/>
    <s v="Buy"/>
    <n v="375"/>
    <n v="1.5"/>
    <s v="REVIEW"/>
    <n v="250"/>
    <x v="0"/>
    <x v="5"/>
  </r>
  <r>
    <n v="43"/>
    <n v="10003"/>
    <x v="0"/>
    <x v="1"/>
    <s v="Sell"/>
    <n v="200"/>
    <n v="2"/>
    <s v="GOOD"/>
    <n v="100"/>
    <x v="0"/>
    <x v="6"/>
  </r>
  <r>
    <n v="77"/>
    <n v="10006"/>
    <x v="0"/>
    <x v="1"/>
    <s v="Sell"/>
    <n v="200"/>
    <n v="2"/>
    <s v="GOOD"/>
    <n v="100"/>
    <x v="0"/>
    <x v="7"/>
  </r>
  <r>
    <n v="99"/>
    <n v="10006"/>
    <x v="0"/>
    <x v="1"/>
    <s v="Sell"/>
    <n v="125"/>
    <n v="2.5"/>
    <s v="GOOD"/>
    <n v="50"/>
    <x v="0"/>
    <x v="8"/>
  </r>
  <r>
    <n v="97"/>
    <n v="10006"/>
    <x v="0"/>
    <x v="1"/>
    <s v="Buy"/>
    <n v="100"/>
    <n v="1"/>
    <s v="REVIEW"/>
    <n v="100"/>
    <x v="0"/>
    <x v="9"/>
  </r>
  <r>
    <n v="93"/>
    <n v="10004"/>
    <x v="0"/>
    <x v="0"/>
    <s v="Sell"/>
    <n v="75"/>
    <n v="1.5"/>
    <s v="REVIEW"/>
    <n v="50"/>
    <x v="0"/>
    <x v="10"/>
  </r>
  <r>
    <n v="1"/>
    <n v="10002"/>
    <x v="0"/>
    <x v="1"/>
    <s v="Sell"/>
    <n v="50"/>
    <n v="1"/>
    <s v="REVIEW"/>
    <n v="50"/>
    <x v="0"/>
    <x v="11"/>
  </r>
  <r>
    <n v="38"/>
    <n v="10005"/>
    <x v="0"/>
    <x v="1"/>
    <s v="Sell"/>
    <n v="-25"/>
    <n v="-0.5"/>
    <s v="REVIEW"/>
    <n v="50"/>
    <x v="1"/>
    <x v="12"/>
  </r>
  <r>
    <n v="30"/>
    <n v="10001"/>
    <x v="0"/>
    <x v="1"/>
    <s v="Buy"/>
    <n v="-50"/>
    <n v="-0.5"/>
    <s v="REVIEW"/>
    <n v="100"/>
    <x v="1"/>
    <x v="13"/>
  </r>
  <r>
    <n v="46"/>
    <n v="10001"/>
    <x v="0"/>
    <x v="0"/>
    <s v="Sell"/>
    <n v="-50"/>
    <n v="-0.5"/>
    <s v="REVIEW"/>
    <n v="100"/>
    <x v="1"/>
    <x v="14"/>
  </r>
  <r>
    <n v="47"/>
    <n v="10005"/>
    <x v="0"/>
    <x v="0"/>
    <s v="Sell"/>
    <n v="-50"/>
    <n v="-0.5"/>
    <s v="REVIEW"/>
    <n v="100"/>
    <x v="1"/>
    <x v="15"/>
  </r>
  <r>
    <n v="52"/>
    <n v="10005"/>
    <x v="0"/>
    <x v="0"/>
    <s v="Buy"/>
    <n v="-50"/>
    <n v="-1"/>
    <s v="REVIEW"/>
    <n v="50"/>
    <x v="1"/>
    <x v="16"/>
  </r>
  <r>
    <n v="8"/>
    <n v="10004"/>
    <x v="0"/>
    <x v="0"/>
    <s v="Sell"/>
    <n v="-100"/>
    <n v="-1"/>
    <s v="REVIEW"/>
    <n v="100"/>
    <x v="1"/>
    <x v="17"/>
  </r>
  <r>
    <n v="70"/>
    <n v="10004"/>
    <x v="0"/>
    <x v="0"/>
    <s v="Sell"/>
    <n v="-100"/>
    <n v="-1"/>
    <s v="REVIEW"/>
    <n v="100"/>
    <x v="1"/>
    <x v="18"/>
  </r>
  <r>
    <n v="86"/>
    <n v="10002"/>
    <x v="0"/>
    <x v="1"/>
    <s v="Buy"/>
    <n v="-100"/>
    <n v="-1"/>
    <s v="REVIEW"/>
    <n v="100"/>
    <x v="1"/>
    <x v="19"/>
  </r>
  <r>
    <n v="61"/>
    <n v="10005"/>
    <x v="0"/>
    <x v="1"/>
    <s v="Sell"/>
    <n v="-125"/>
    <n v="-0.5"/>
    <s v="REVIEW"/>
    <n v="250"/>
    <x v="1"/>
    <x v="20"/>
  </r>
  <r>
    <n v="34"/>
    <n v="10005"/>
    <x v="0"/>
    <x v="1"/>
    <s v="Sell"/>
    <n v="-150"/>
    <n v="-1.5"/>
    <s v="REVIEW"/>
    <n v="100"/>
    <x v="1"/>
    <x v="12"/>
  </r>
  <r>
    <n v="13"/>
    <n v="10006"/>
    <x v="1"/>
    <x v="1"/>
    <s v="Sell"/>
    <n v="750"/>
    <n v="3"/>
    <s v="GOOD"/>
    <n v="250"/>
    <x v="0"/>
    <x v="21"/>
  </r>
  <r>
    <n v="98"/>
    <n v="10001"/>
    <x v="1"/>
    <x v="1"/>
    <s v="Buy"/>
    <n v="750"/>
    <n v="3"/>
    <s v="GOOD"/>
    <n v="250"/>
    <x v="0"/>
    <x v="22"/>
  </r>
  <r>
    <n v="68"/>
    <n v="10004"/>
    <x v="1"/>
    <x v="1"/>
    <s v="Sell"/>
    <n v="625"/>
    <n v="2.5"/>
    <s v="GOOD"/>
    <n v="250"/>
    <x v="0"/>
    <x v="23"/>
  </r>
  <r>
    <n v="85"/>
    <n v="10003"/>
    <x v="1"/>
    <x v="0"/>
    <s v="Sell"/>
    <n v="600"/>
    <n v="3"/>
    <s v="GOOD"/>
    <n v="200"/>
    <x v="0"/>
    <x v="24"/>
  </r>
  <r>
    <n v="15"/>
    <n v="10004"/>
    <x v="1"/>
    <x v="0"/>
    <s v="Buy"/>
    <n v="500"/>
    <n v="2.5"/>
    <s v="GOOD"/>
    <n v="200"/>
    <x v="0"/>
    <x v="25"/>
  </r>
  <r>
    <n v="37"/>
    <n v="10003"/>
    <x v="1"/>
    <x v="0"/>
    <s v="Buy"/>
    <n v="500"/>
    <n v="2"/>
    <s v="GOOD"/>
    <n v="250"/>
    <x v="0"/>
    <x v="26"/>
  </r>
  <r>
    <n v="71"/>
    <n v="10004"/>
    <x v="1"/>
    <x v="0"/>
    <s v="Sell"/>
    <n v="500"/>
    <n v="2"/>
    <s v="GOOD"/>
    <n v="250"/>
    <x v="0"/>
    <x v="24"/>
  </r>
  <r>
    <n v="88"/>
    <n v="10004"/>
    <x v="1"/>
    <x v="0"/>
    <s v="Sell"/>
    <n v="500"/>
    <n v="2"/>
    <s v="GOOD"/>
    <n v="250"/>
    <x v="0"/>
    <x v="27"/>
  </r>
  <r>
    <n v="76"/>
    <n v="10005"/>
    <x v="1"/>
    <x v="1"/>
    <s v="Buy"/>
    <n v="375"/>
    <n v="1.5"/>
    <s v="REVIEW"/>
    <n v="250"/>
    <x v="0"/>
    <x v="16"/>
  </r>
  <r>
    <n v="92"/>
    <n v="10001"/>
    <x v="1"/>
    <x v="0"/>
    <s v="Buy"/>
    <n v="375"/>
    <n v="1.5"/>
    <s v="REVIEW"/>
    <n v="250"/>
    <x v="0"/>
    <x v="28"/>
  </r>
  <r>
    <n v="10"/>
    <n v="10004"/>
    <x v="1"/>
    <x v="1"/>
    <s v="Buy"/>
    <n v="300"/>
    <n v="3"/>
    <s v="GOOD"/>
    <n v="100"/>
    <x v="0"/>
    <x v="3"/>
  </r>
  <r>
    <n v="23"/>
    <n v="10003"/>
    <x v="1"/>
    <x v="1"/>
    <s v="Buy"/>
    <n v="300"/>
    <n v="3"/>
    <s v="GOOD"/>
    <n v="100"/>
    <x v="0"/>
    <x v="29"/>
  </r>
  <r>
    <n v="54"/>
    <n v="10006"/>
    <x v="1"/>
    <x v="0"/>
    <s v="Buy"/>
    <n v="300"/>
    <n v="3"/>
    <s v="GOOD"/>
    <n v="100"/>
    <x v="0"/>
    <x v="30"/>
  </r>
  <r>
    <n v="12"/>
    <n v="10006"/>
    <x v="1"/>
    <x v="0"/>
    <s v="Buy"/>
    <n v="250"/>
    <n v="2.5"/>
    <s v="GOOD"/>
    <n v="100"/>
    <x v="0"/>
    <x v="31"/>
  </r>
  <r>
    <n v="63"/>
    <n v="10001"/>
    <x v="1"/>
    <x v="1"/>
    <s v="Sell"/>
    <n v="250"/>
    <n v="1"/>
    <s v="REVIEW"/>
    <n v="250"/>
    <x v="0"/>
    <x v="32"/>
  </r>
  <r>
    <n v="95"/>
    <n v="10002"/>
    <x v="1"/>
    <x v="0"/>
    <s v="Buy"/>
    <n v="250"/>
    <n v="2.5"/>
    <s v="GOOD"/>
    <n v="100"/>
    <x v="0"/>
    <x v="33"/>
  </r>
  <r>
    <n v="84"/>
    <n v="10003"/>
    <x v="1"/>
    <x v="0"/>
    <s v="Sell"/>
    <n v="200"/>
    <n v="2"/>
    <s v="GOOD"/>
    <n v="100"/>
    <x v="0"/>
    <x v="34"/>
  </r>
  <r>
    <n v="33"/>
    <n v="10001"/>
    <x v="1"/>
    <x v="0"/>
    <s v="Buy"/>
    <n v="150"/>
    <n v="3"/>
    <s v="GOOD"/>
    <n v="50"/>
    <x v="0"/>
    <x v="35"/>
  </r>
  <r>
    <n v="100"/>
    <n v="10004"/>
    <x v="1"/>
    <x v="0"/>
    <s v="Buy"/>
    <n v="150"/>
    <n v="1.5"/>
    <s v="REVIEW"/>
    <n v="100"/>
    <x v="0"/>
    <x v="36"/>
  </r>
  <r>
    <n v="3"/>
    <n v="10004"/>
    <x v="1"/>
    <x v="0"/>
    <s v="Buy"/>
    <n v="100"/>
    <n v="1"/>
    <s v="REVIEW"/>
    <n v="100"/>
    <x v="0"/>
    <x v="37"/>
  </r>
  <r>
    <n v="7"/>
    <n v="10006"/>
    <x v="1"/>
    <x v="1"/>
    <s v="Buy"/>
    <n v="100"/>
    <n v="2"/>
    <s v="GOOD"/>
    <n v="50"/>
    <x v="0"/>
    <x v="38"/>
  </r>
  <r>
    <n v="20"/>
    <n v="10006"/>
    <x v="1"/>
    <x v="1"/>
    <s v="Buy"/>
    <n v="100"/>
    <n v="1"/>
    <s v="REVIEW"/>
    <n v="100"/>
    <x v="0"/>
    <x v="4"/>
  </r>
  <r>
    <n v="62"/>
    <n v="10004"/>
    <x v="1"/>
    <x v="0"/>
    <s v="Sell"/>
    <n v="50"/>
    <n v="1"/>
    <s v="REVIEW"/>
    <n v="50"/>
    <x v="0"/>
    <x v="39"/>
  </r>
  <r>
    <n v="24"/>
    <n v="10006"/>
    <x v="1"/>
    <x v="1"/>
    <s v="Buy"/>
    <n v="-25"/>
    <n v="-0.5"/>
    <s v="REVIEW"/>
    <n v="50"/>
    <x v="1"/>
    <x v="40"/>
  </r>
  <r>
    <n v="14"/>
    <n v="10001"/>
    <x v="1"/>
    <x v="1"/>
    <s v="Sell"/>
    <n v="-50"/>
    <n v="-0.5"/>
    <s v="REVIEW"/>
    <n v="100"/>
    <x v="1"/>
    <x v="41"/>
  </r>
  <r>
    <n v="49"/>
    <n v="10001"/>
    <x v="1"/>
    <x v="1"/>
    <s v="Sell"/>
    <n v="-50"/>
    <n v="-0.5"/>
    <s v="REVIEW"/>
    <n v="100"/>
    <x v="1"/>
    <x v="42"/>
  </r>
  <r>
    <n v="79"/>
    <n v="10001"/>
    <x v="1"/>
    <x v="1"/>
    <s v="Buy"/>
    <n v="-50"/>
    <n v="-1"/>
    <s v="REVIEW"/>
    <n v="50"/>
    <x v="1"/>
    <x v="43"/>
  </r>
  <r>
    <n v="40"/>
    <n v="10005"/>
    <x v="1"/>
    <x v="0"/>
    <s v="Sell"/>
    <n v="-75"/>
    <n v="-1.5"/>
    <s v="REVIEW"/>
    <n v="50"/>
    <x v="1"/>
    <x v="44"/>
  </r>
  <r>
    <n v="39"/>
    <n v="10003"/>
    <x v="1"/>
    <x v="0"/>
    <s v="Buy"/>
    <n v="-100"/>
    <n v="-0.5"/>
    <s v="REVIEW"/>
    <n v="200"/>
    <x v="1"/>
    <x v="0"/>
  </r>
  <r>
    <n v="29"/>
    <n v="10002"/>
    <x v="1"/>
    <x v="0"/>
    <s v="Sell"/>
    <n v="-125"/>
    <n v="-0.5"/>
    <s v="REVIEW"/>
    <n v="250"/>
    <x v="1"/>
    <x v="32"/>
  </r>
  <r>
    <n v="69"/>
    <n v="10005"/>
    <x v="1"/>
    <x v="0"/>
    <s v="Sell"/>
    <n v="-125"/>
    <n v="-0.5"/>
    <s v="REVIEW"/>
    <n v="250"/>
    <x v="1"/>
    <x v="45"/>
  </r>
  <r>
    <n v="22"/>
    <n v="10006"/>
    <x v="1"/>
    <x v="0"/>
    <s v="Sell"/>
    <n v="-250"/>
    <n v="-1"/>
    <s v="REVIEW"/>
    <n v="250"/>
    <x v="1"/>
    <x v="46"/>
  </r>
  <r>
    <n v="36"/>
    <n v="10004"/>
    <x v="1"/>
    <x v="1"/>
    <s v="Buy"/>
    <n v="-300"/>
    <n v="-1.5"/>
    <s v="REVIEW"/>
    <n v="200"/>
    <x v="1"/>
    <x v="29"/>
  </r>
  <r>
    <n v="32"/>
    <n v="10003"/>
    <x v="2"/>
    <x v="0"/>
    <s v="Sell"/>
    <n v="750"/>
    <n v="3"/>
    <s v="GOOD"/>
    <n v="250"/>
    <x v="0"/>
    <x v="47"/>
  </r>
  <r>
    <n v="73"/>
    <n v="10002"/>
    <x v="2"/>
    <x v="1"/>
    <s v="Sell"/>
    <n v="500"/>
    <n v="2.5"/>
    <s v="GOOD"/>
    <n v="200"/>
    <x v="0"/>
    <x v="48"/>
  </r>
  <r>
    <n v="74"/>
    <n v="10004"/>
    <x v="2"/>
    <x v="0"/>
    <s v="Sell"/>
    <n v="500"/>
    <n v="2.5"/>
    <s v="GOOD"/>
    <n v="200"/>
    <x v="0"/>
    <x v="49"/>
  </r>
  <r>
    <n v="87"/>
    <n v="10001"/>
    <x v="2"/>
    <x v="0"/>
    <s v="Sell"/>
    <n v="375"/>
    <n v="1.5"/>
    <s v="REVIEW"/>
    <n v="250"/>
    <x v="0"/>
    <x v="50"/>
  </r>
  <r>
    <n v="65"/>
    <n v="10004"/>
    <x v="2"/>
    <x v="1"/>
    <s v="Sell"/>
    <n v="300"/>
    <n v="1.5"/>
    <s v="REVIEW"/>
    <n v="200"/>
    <x v="0"/>
    <x v="13"/>
  </r>
  <r>
    <n v="26"/>
    <n v="10004"/>
    <x v="2"/>
    <x v="1"/>
    <s v="Sell"/>
    <n v="250"/>
    <n v="1"/>
    <s v="REVIEW"/>
    <n v="250"/>
    <x v="0"/>
    <x v="51"/>
  </r>
  <r>
    <n v="55"/>
    <n v="10005"/>
    <x v="2"/>
    <x v="1"/>
    <s v="Sell"/>
    <n v="200"/>
    <n v="1"/>
    <s v="REVIEW"/>
    <n v="200"/>
    <x v="0"/>
    <x v="52"/>
  </r>
  <r>
    <n v="59"/>
    <n v="10006"/>
    <x v="2"/>
    <x v="1"/>
    <s v="Sell"/>
    <n v="200"/>
    <n v="1"/>
    <s v="REVIEW"/>
    <n v="200"/>
    <x v="0"/>
    <x v="53"/>
  </r>
  <r>
    <n v="66"/>
    <n v="10004"/>
    <x v="2"/>
    <x v="1"/>
    <s v="Sell"/>
    <n v="200"/>
    <n v="2"/>
    <s v="GOOD"/>
    <n v="100"/>
    <x v="0"/>
    <x v="54"/>
  </r>
  <r>
    <n v="2"/>
    <n v="10001"/>
    <x v="2"/>
    <x v="1"/>
    <s v="Buy"/>
    <n v="150"/>
    <n v="3"/>
    <s v="GOOD"/>
    <n v="50"/>
    <x v="0"/>
    <x v="55"/>
  </r>
  <r>
    <n v="94"/>
    <n v="10004"/>
    <x v="2"/>
    <x v="1"/>
    <s v="Buy"/>
    <n v="150"/>
    <n v="3"/>
    <s v="GOOD"/>
    <n v="50"/>
    <x v="0"/>
    <x v="6"/>
  </r>
  <r>
    <n v="57"/>
    <n v="10005"/>
    <x v="2"/>
    <x v="0"/>
    <s v="Buy"/>
    <n v="125"/>
    <n v="2.5"/>
    <s v="GOOD"/>
    <n v="50"/>
    <x v="0"/>
    <x v="56"/>
  </r>
  <r>
    <n v="4"/>
    <n v="10002"/>
    <x v="2"/>
    <x v="0"/>
    <s v="Sell"/>
    <n v="100"/>
    <n v="2"/>
    <s v="GOOD"/>
    <n v="50"/>
    <x v="0"/>
    <x v="57"/>
  </r>
  <r>
    <n v="27"/>
    <n v="10006"/>
    <x v="2"/>
    <x v="0"/>
    <s v="Sell"/>
    <n v="50"/>
    <n v="1"/>
    <s v="REVIEW"/>
    <n v="50"/>
    <x v="0"/>
    <x v="58"/>
  </r>
  <r>
    <n v="72"/>
    <n v="10004"/>
    <x v="2"/>
    <x v="1"/>
    <s v="Buy"/>
    <n v="50"/>
    <n v="1"/>
    <s v="REVIEW"/>
    <n v="50"/>
    <x v="0"/>
    <x v="59"/>
  </r>
  <r>
    <n v="75"/>
    <n v="10003"/>
    <x v="2"/>
    <x v="1"/>
    <s v="Buy"/>
    <n v="50"/>
    <n v="1"/>
    <s v="REVIEW"/>
    <n v="50"/>
    <x v="0"/>
    <x v="60"/>
  </r>
  <r>
    <n v="17"/>
    <n v="10005"/>
    <x v="2"/>
    <x v="1"/>
    <s v="Sell"/>
    <n v="-75"/>
    <n v="-1.5"/>
    <s v="REVIEW"/>
    <n v="50"/>
    <x v="1"/>
    <x v="61"/>
  </r>
  <r>
    <n v="53"/>
    <n v="10004"/>
    <x v="2"/>
    <x v="0"/>
    <s v="Sell"/>
    <n v="-75"/>
    <n v="-1.5"/>
    <s v="REVIEW"/>
    <n v="50"/>
    <x v="1"/>
    <x v="62"/>
  </r>
  <r>
    <n v="21"/>
    <n v="10005"/>
    <x v="2"/>
    <x v="1"/>
    <s v="Sell"/>
    <n v="-100"/>
    <n v="-1"/>
    <s v="REVIEW"/>
    <n v="100"/>
    <x v="1"/>
    <x v="14"/>
  </r>
  <r>
    <n v="48"/>
    <n v="10006"/>
    <x v="2"/>
    <x v="1"/>
    <s v="Buy"/>
    <n v="-100"/>
    <n v="-1"/>
    <s v="REVIEW"/>
    <n v="100"/>
    <x v="1"/>
    <x v="63"/>
  </r>
  <r>
    <n v="83"/>
    <n v="10002"/>
    <x v="2"/>
    <x v="0"/>
    <s v="Sell"/>
    <n v="-100"/>
    <n v="-0.5"/>
    <s v="REVIEW"/>
    <n v="200"/>
    <x v="1"/>
    <x v="64"/>
  </r>
  <r>
    <n v="5"/>
    <n v="10003"/>
    <x v="2"/>
    <x v="1"/>
    <s v="Sell"/>
    <n v="-125"/>
    <n v="-0.5"/>
    <s v="REVIEW"/>
    <n v="250"/>
    <x v="1"/>
    <x v="65"/>
  </r>
  <r>
    <n v="31"/>
    <n v="10004"/>
    <x v="2"/>
    <x v="0"/>
    <s v="Buy"/>
    <n v="-125"/>
    <n v="-0.5"/>
    <s v="REVIEW"/>
    <n v="250"/>
    <x v="1"/>
    <x v="66"/>
  </r>
  <r>
    <n v="96"/>
    <n v="10003"/>
    <x v="2"/>
    <x v="0"/>
    <s v="Sell"/>
    <n v="-200"/>
    <n v="-1"/>
    <s v="REVIEW"/>
    <n v="200"/>
    <x v="1"/>
    <x v="54"/>
  </r>
  <r>
    <n v="64"/>
    <n v="10005"/>
    <x v="2"/>
    <x v="0"/>
    <s v="Sell"/>
    <n v="-375"/>
    <n v="-1.5"/>
    <s v="REVIEW"/>
    <n v="250"/>
    <x v="1"/>
    <x v="67"/>
  </r>
  <r>
    <n v="81"/>
    <n v="10004"/>
    <x v="2"/>
    <x v="0"/>
    <s v="Buy"/>
    <n v="-375"/>
    <n v="-1.5"/>
    <s v="REVIEW"/>
    <n v="250"/>
    <x v="1"/>
    <x v="28"/>
  </r>
  <r>
    <n v="82"/>
    <n v="10005"/>
    <x v="2"/>
    <x v="1"/>
    <s v="Sell"/>
    <n v="-375"/>
    <n v="-1.5"/>
    <s v="REVIEW"/>
    <n v="250"/>
    <x v="1"/>
    <x v="35"/>
  </r>
  <r>
    <n v="90"/>
    <n v="10002"/>
    <x v="3"/>
    <x v="1"/>
    <s v="Buy"/>
    <n v="500"/>
    <n v="2.5"/>
    <s v="GOOD"/>
    <n v="200"/>
    <x v="0"/>
    <x v="56"/>
  </r>
  <r>
    <n v="50"/>
    <n v="10002"/>
    <x v="3"/>
    <x v="0"/>
    <s v="Buy"/>
    <n v="375"/>
    <n v="1.5"/>
    <s v="REVIEW"/>
    <n v="250"/>
    <x v="0"/>
    <x v="68"/>
  </r>
  <r>
    <n v="91"/>
    <n v="10003"/>
    <x v="3"/>
    <x v="1"/>
    <s v="Buy"/>
    <n v="300"/>
    <n v="1.5"/>
    <s v="REVIEW"/>
    <n v="200"/>
    <x v="0"/>
    <x v="40"/>
  </r>
  <r>
    <n v="28"/>
    <n v="10002"/>
    <x v="3"/>
    <x v="1"/>
    <s v="Buy"/>
    <n v="250"/>
    <n v="2.5"/>
    <s v="GOOD"/>
    <n v="100"/>
    <x v="0"/>
    <x v="69"/>
  </r>
  <r>
    <n v="67"/>
    <n v="10002"/>
    <x v="3"/>
    <x v="0"/>
    <s v="Buy"/>
    <n v="250"/>
    <n v="2.5"/>
    <s v="GOOD"/>
    <n v="100"/>
    <x v="0"/>
    <x v="70"/>
  </r>
  <r>
    <n v="60"/>
    <n v="10006"/>
    <x v="3"/>
    <x v="1"/>
    <s v="Buy"/>
    <n v="150"/>
    <n v="1.5"/>
    <s v="REVIEW"/>
    <n v="100"/>
    <x v="0"/>
    <x v="71"/>
  </r>
  <r>
    <n v="41"/>
    <n v="10003"/>
    <x v="3"/>
    <x v="1"/>
    <s v="Buy"/>
    <n v="100"/>
    <n v="1"/>
    <s v="REVIEW"/>
    <n v="100"/>
    <x v="0"/>
    <x v="15"/>
  </r>
  <r>
    <n v="89"/>
    <n v="10003"/>
    <x v="3"/>
    <x v="0"/>
    <s v="Sell"/>
    <n v="75"/>
    <n v="1.5"/>
    <s v="REVIEW"/>
    <n v="50"/>
    <x v="0"/>
    <x v="13"/>
  </r>
  <r>
    <n v="25"/>
    <n v="10003"/>
    <x v="3"/>
    <x v="1"/>
    <s v="Buy"/>
    <n v="-50"/>
    <n v="-0.5"/>
    <s v="REVIEW"/>
    <n v="100"/>
    <x v="1"/>
    <x v="72"/>
  </r>
  <r>
    <n v="9"/>
    <n v="10006"/>
    <x v="3"/>
    <x v="1"/>
    <s v="Sell"/>
    <n v="-75"/>
    <n v="-1.5"/>
    <s v="REVIEW"/>
    <n v="50"/>
    <x v="1"/>
    <x v="73"/>
  </r>
  <r>
    <n v="18"/>
    <n v="10003"/>
    <x v="3"/>
    <x v="1"/>
    <s v="Buy"/>
    <n v="-75"/>
    <n v="-1.5"/>
    <s v="REVIEW"/>
    <n v="50"/>
    <x v="1"/>
    <x v="25"/>
  </r>
  <r>
    <n v="44"/>
    <n v="10005"/>
    <x v="3"/>
    <x v="1"/>
    <s v="Sell"/>
    <n v="-75"/>
    <n v="-1.5"/>
    <s v="REVIEW"/>
    <n v="50"/>
    <x v="1"/>
    <x v="11"/>
  </r>
  <r>
    <n v="19"/>
    <n v="10001"/>
    <x v="3"/>
    <x v="0"/>
    <s v="Buy"/>
    <n v="-100"/>
    <n v="-1"/>
    <s v="REVIEW"/>
    <n v="100"/>
    <x v="1"/>
    <x v="74"/>
  </r>
  <r>
    <n v="56"/>
    <n v="10004"/>
    <x v="3"/>
    <x v="0"/>
    <s v="Sell"/>
    <n v="-150"/>
    <n v="-1.5"/>
    <s v="REVIEW"/>
    <n v="100"/>
    <x v="1"/>
    <x v="75"/>
  </r>
  <r>
    <n v="11"/>
    <n v="10001"/>
    <x v="3"/>
    <x v="1"/>
    <s v="Buy"/>
    <n v="-200"/>
    <n v="-1"/>
    <s v="REVIEW"/>
    <n v="200"/>
    <x v="1"/>
    <x v="36"/>
  </r>
  <r>
    <n v="51"/>
    <n v="10003"/>
    <x v="3"/>
    <x v="1"/>
    <s v="Sell"/>
    <n v="-200"/>
    <n v="-1"/>
    <s v="REVIEW"/>
    <n v="200"/>
    <x v="1"/>
    <x v="76"/>
  </r>
  <r>
    <n v="42"/>
    <n v="10002"/>
    <x v="3"/>
    <x v="1"/>
    <s v="Sell"/>
    <n v="-250"/>
    <n v="-1"/>
    <s v="REVIEW"/>
    <n v="250"/>
    <x v="1"/>
    <x v="70"/>
  </r>
  <r>
    <n v="58"/>
    <n v="10005"/>
    <x v="3"/>
    <x v="1"/>
    <s v="Sell"/>
    <n v="-250"/>
    <n v="-1"/>
    <s v="REVIEW"/>
    <n v="250"/>
    <x v="1"/>
    <x v="7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05"/>
    <x v="0"/>
    <s v="New York"/>
    <s v="Buy"/>
    <n v="600"/>
    <n v="3"/>
    <s v="GOOD"/>
    <n v="200"/>
    <s v="Win"/>
    <d v="2026-05-22T00:00:00"/>
    <x v="0"/>
  </r>
  <r>
    <n v="10006"/>
    <x v="0"/>
    <s v="New York"/>
    <s v="Sell"/>
    <n v="600"/>
    <n v="3"/>
    <s v="GOOD"/>
    <n v="200"/>
    <s v="Win"/>
    <d v="2026-05-29T00:00:00"/>
    <x v="0"/>
  </r>
  <r>
    <n v="10006"/>
    <x v="0"/>
    <s v="London"/>
    <s v="Sell"/>
    <n v="500"/>
    <n v="2"/>
    <s v="GOOD"/>
    <n v="250"/>
    <s v="Win"/>
    <d v="2026-05-26T00:00:00"/>
    <x v="0"/>
  </r>
  <r>
    <n v="10001"/>
    <x v="0"/>
    <s v="London"/>
    <s v="Sell"/>
    <n v="500"/>
    <n v="2"/>
    <s v="GOOD"/>
    <n v="250"/>
    <s v="Win"/>
    <d v="2026-06-09T00:00:00"/>
    <x v="1"/>
  </r>
  <r>
    <n v="10005"/>
    <x v="0"/>
    <s v="London"/>
    <s v="Buy"/>
    <n v="375"/>
    <n v="1.5"/>
    <s v="REVIEW"/>
    <n v="250"/>
    <s v="Win"/>
    <d v="2026-01-19T00:00:00"/>
    <x v="2"/>
  </r>
  <r>
    <n v="10003"/>
    <x v="0"/>
    <s v="London"/>
    <s v="Buy"/>
    <n v="375"/>
    <n v="1.5"/>
    <s v="REVIEW"/>
    <n v="250"/>
    <s v="Win"/>
    <d v="2026-02-02T00:00:00"/>
    <x v="3"/>
  </r>
  <r>
    <n v="10003"/>
    <x v="0"/>
    <s v="London"/>
    <s v="Sell"/>
    <n v="200"/>
    <n v="2"/>
    <s v="GOOD"/>
    <n v="100"/>
    <s v="Win"/>
    <d v="2026-03-10T00:00:00"/>
    <x v="4"/>
  </r>
  <r>
    <n v="10006"/>
    <x v="0"/>
    <s v="London"/>
    <s v="Sell"/>
    <n v="200"/>
    <n v="2"/>
    <s v="GOOD"/>
    <n v="100"/>
    <s v="Win"/>
    <d v="2026-06-25T00:00:00"/>
    <x v="1"/>
  </r>
  <r>
    <n v="10006"/>
    <x v="0"/>
    <s v="London"/>
    <s v="Sell"/>
    <n v="125"/>
    <n v="2.5"/>
    <s v="GOOD"/>
    <n v="50"/>
    <s v="Win"/>
    <d v="2026-03-20T00:00:00"/>
    <x v="4"/>
  </r>
  <r>
    <n v="10006"/>
    <x v="0"/>
    <s v="London"/>
    <s v="Buy"/>
    <n v="100"/>
    <n v="1"/>
    <s v="REVIEW"/>
    <n v="100"/>
    <s v="Win"/>
    <d v="2026-05-30T00:00:00"/>
    <x v="0"/>
  </r>
  <r>
    <n v="10004"/>
    <x v="0"/>
    <s v="New York"/>
    <s v="Sell"/>
    <n v="75"/>
    <n v="1.5"/>
    <s v="REVIEW"/>
    <n v="50"/>
    <s v="Win"/>
    <d v="2026-01-31T00:00:00"/>
    <x v="2"/>
  </r>
  <r>
    <n v="10002"/>
    <x v="0"/>
    <s v="London"/>
    <s v="Sell"/>
    <n v="50"/>
    <n v="1"/>
    <s v="REVIEW"/>
    <n v="50"/>
    <s v="Win"/>
    <d v="2026-06-17T00:00:00"/>
    <x v="1"/>
  </r>
  <r>
    <n v="10005"/>
    <x v="0"/>
    <s v="London"/>
    <s v="Sell"/>
    <n v="-25"/>
    <n v="-0.5"/>
    <s v="REVIEW"/>
    <n v="50"/>
    <s v="Loss"/>
    <d v="2026-03-26T00:00:00"/>
    <x v="4"/>
  </r>
  <r>
    <n v="10001"/>
    <x v="0"/>
    <s v="London"/>
    <s v="Buy"/>
    <n v="-50"/>
    <n v="-0.5"/>
    <s v="REVIEW"/>
    <n v="100"/>
    <s v="Loss"/>
    <d v="2026-05-25T00:00:00"/>
    <x v="0"/>
  </r>
  <r>
    <n v="10001"/>
    <x v="0"/>
    <s v="New York"/>
    <s v="Sell"/>
    <n v="-50"/>
    <n v="-0.5"/>
    <s v="REVIEW"/>
    <n v="100"/>
    <s v="Loss"/>
    <d v="2026-02-06T00:00:00"/>
    <x v="3"/>
  </r>
  <r>
    <n v="10005"/>
    <x v="0"/>
    <s v="New York"/>
    <s v="Sell"/>
    <n v="-50"/>
    <n v="-0.5"/>
    <s v="REVIEW"/>
    <n v="100"/>
    <s v="Loss"/>
    <d v="2026-06-24T00:00:00"/>
    <x v="1"/>
  </r>
  <r>
    <n v="10005"/>
    <x v="0"/>
    <s v="New York"/>
    <s v="Buy"/>
    <n v="-50"/>
    <n v="-1"/>
    <s v="REVIEW"/>
    <n v="50"/>
    <s v="Loss"/>
    <d v="2026-01-12T00:00:00"/>
    <x v="2"/>
  </r>
  <r>
    <n v="10004"/>
    <x v="0"/>
    <s v="New York"/>
    <s v="Sell"/>
    <n v="-100"/>
    <n v="-1"/>
    <s v="REVIEW"/>
    <n v="100"/>
    <s v="Loss"/>
    <d v="2026-03-05T00:00:00"/>
    <x v="4"/>
  </r>
  <r>
    <n v="10004"/>
    <x v="0"/>
    <s v="New York"/>
    <s v="Sell"/>
    <n v="-100"/>
    <n v="-1"/>
    <s v="REVIEW"/>
    <n v="100"/>
    <s v="Loss"/>
    <d v="2026-05-07T00:00:00"/>
    <x v="0"/>
  </r>
  <r>
    <n v="10002"/>
    <x v="0"/>
    <s v="London"/>
    <s v="Buy"/>
    <n v="-100"/>
    <n v="-1"/>
    <s v="REVIEW"/>
    <n v="100"/>
    <s v="Loss"/>
    <d v="2026-05-27T00:00:00"/>
    <x v="0"/>
  </r>
  <r>
    <n v="10005"/>
    <x v="0"/>
    <s v="London"/>
    <s v="Sell"/>
    <n v="-125"/>
    <n v="-0.5"/>
    <s v="REVIEW"/>
    <n v="250"/>
    <s v="Loss"/>
    <d v="2026-01-11T00:00:00"/>
    <x v="2"/>
  </r>
  <r>
    <n v="10005"/>
    <x v="0"/>
    <s v="London"/>
    <s v="Sell"/>
    <n v="-150"/>
    <n v="-1.5"/>
    <s v="REVIEW"/>
    <n v="100"/>
    <s v="Loss"/>
    <d v="2026-03-26T00:00:00"/>
    <x v="4"/>
  </r>
  <r>
    <n v="10006"/>
    <x v="1"/>
    <s v="London"/>
    <s v="Sell"/>
    <n v="750"/>
    <n v="3"/>
    <s v="GOOD"/>
    <n v="250"/>
    <s v="Win"/>
    <d v="2026-03-13T00:00:00"/>
    <x v="4"/>
  </r>
  <r>
    <n v="10001"/>
    <x v="1"/>
    <s v="London"/>
    <s v="Buy"/>
    <n v="750"/>
    <n v="3"/>
    <s v="GOOD"/>
    <n v="250"/>
    <s v="Win"/>
    <d v="2026-03-07T00:00:00"/>
    <x v="4"/>
  </r>
  <r>
    <n v="10004"/>
    <x v="1"/>
    <s v="London"/>
    <s v="Sell"/>
    <n v="625"/>
    <n v="2.5"/>
    <s v="GOOD"/>
    <n v="250"/>
    <s v="Win"/>
    <d v="2026-07-04T00:00:00"/>
    <x v="5"/>
  </r>
  <r>
    <n v="10003"/>
    <x v="1"/>
    <s v="New York"/>
    <s v="Sell"/>
    <n v="600"/>
    <n v="3"/>
    <s v="GOOD"/>
    <n v="200"/>
    <s v="Win"/>
    <d v="2026-05-09T00:00:00"/>
    <x v="0"/>
  </r>
  <r>
    <n v="10004"/>
    <x v="1"/>
    <s v="New York"/>
    <s v="Buy"/>
    <n v="500"/>
    <n v="2.5"/>
    <s v="GOOD"/>
    <n v="200"/>
    <s v="Win"/>
    <d v="2026-06-14T00:00:00"/>
    <x v="1"/>
  </r>
  <r>
    <n v="10003"/>
    <x v="1"/>
    <s v="New York"/>
    <s v="Buy"/>
    <n v="500"/>
    <n v="2"/>
    <s v="GOOD"/>
    <n v="250"/>
    <s v="Win"/>
    <d v="2026-03-12T00:00:00"/>
    <x v="4"/>
  </r>
  <r>
    <n v="10004"/>
    <x v="1"/>
    <s v="New York"/>
    <s v="Sell"/>
    <n v="500"/>
    <n v="2"/>
    <s v="GOOD"/>
    <n v="250"/>
    <s v="Win"/>
    <d v="2026-05-09T00:00:00"/>
    <x v="0"/>
  </r>
  <r>
    <n v="10004"/>
    <x v="1"/>
    <s v="New York"/>
    <s v="Sell"/>
    <n v="500"/>
    <n v="2"/>
    <s v="GOOD"/>
    <n v="250"/>
    <s v="Win"/>
    <d v="2026-07-01T00:00:00"/>
    <x v="5"/>
  </r>
  <r>
    <n v="10005"/>
    <x v="1"/>
    <s v="London"/>
    <s v="Buy"/>
    <n v="375"/>
    <n v="1.5"/>
    <s v="REVIEW"/>
    <n v="250"/>
    <s v="Win"/>
    <d v="2026-01-12T00:00:00"/>
    <x v="2"/>
  </r>
  <r>
    <n v="10001"/>
    <x v="1"/>
    <s v="New York"/>
    <s v="Buy"/>
    <n v="375"/>
    <n v="1.5"/>
    <s v="REVIEW"/>
    <n v="250"/>
    <s v="Win"/>
    <d v="2026-01-08T00:00:00"/>
    <x v="2"/>
  </r>
  <r>
    <n v="10004"/>
    <x v="1"/>
    <s v="London"/>
    <s v="Buy"/>
    <n v="300"/>
    <n v="3"/>
    <s v="GOOD"/>
    <n v="100"/>
    <s v="Win"/>
    <d v="2026-06-09T00:00:00"/>
    <x v="1"/>
  </r>
  <r>
    <n v="10003"/>
    <x v="1"/>
    <s v="London"/>
    <s v="Buy"/>
    <n v="300"/>
    <n v="3"/>
    <s v="GOOD"/>
    <n v="100"/>
    <s v="Win"/>
    <d v="2026-02-04T00:00:00"/>
    <x v="3"/>
  </r>
  <r>
    <n v="10006"/>
    <x v="1"/>
    <s v="New York"/>
    <s v="Buy"/>
    <n v="300"/>
    <n v="3"/>
    <s v="GOOD"/>
    <n v="100"/>
    <s v="Win"/>
    <d v="2026-04-13T00:00:00"/>
    <x v="6"/>
  </r>
  <r>
    <n v="10006"/>
    <x v="1"/>
    <s v="New York"/>
    <s v="Buy"/>
    <n v="250"/>
    <n v="2.5"/>
    <s v="GOOD"/>
    <n v="100"/>
    <s v="Win"/>
    <d v="2026-01-21T00:00:00"/>
    <x v="2"/>
  </r>
  <r>
    <n v="10001"/>
    <x v="1"/>
    <s v="London"/>
    <s v="Sell"/>
    <n v="250"/>
    <n v="1"/>
    <s v="REVIEW"/>
    <n v="250"/>
    <s v="Win"/>
    <d v="2026-04-23T00:00:00"/>
    <x v="6"/>
  </r>
  <r>
    <n v="10002"/>
    <x v="1"/>
    <s v="New York"/>
    <s v="Buy"/>
    <n v="250"/>
    <n v="2.5"/>
    <s v="GOOD"/>
    <n v="100"/>
    <s v="Win"/>
    <d v="2026-02-12T00:00:00"/>
    <x v="3"/>
  </r>
  <r>
    <n v="10003"/>
    <x v="1"/>
    <s v="New York"/>
    <s v="Sell"/>
    <n v="200"/>
    <n v="2"/>
    <s v="GOOD"/>
    <n v="100"/>
    <s v="Win"/>
    <d v="2026-04-30T00:00:00"/>
    <x v="6"/>
  </r>
  <r>
    <n v="10001"/>
    <x v="1"/>
    <s v="New York"/>
    <s v="Buy"/>
    <n v="150"/>
    <n v="3"/>
    <s v="GOOD"/>
    <n v="50"/>
    <s v="Win"/>
    <d v="2026-02-13T00:00:00"/>
    <x v="3"/>
  </r>
  <r>
    <n v="10004"/>
    <x v="1"/>
    <s v="New York"/>
    <s v="Buy"/>
    <n v="150"/>
    <n v="1.5"/>
    <s v="REVIEW"/>
    <n v="100"/>
    <s v="Win"/>
    <d v="2026-06-29T00:00:00"/>
    <x v="1"/>
  </r>
  <r>
    <n v="10004"/>
    <x v="1"/>
    <s v="New York"/>
    <s v="Buy"/>
    <n v="100"/>
    <n v="1"/>
    <s v="REVIEW"/>
    <n v="100"/>
    <s v="Win"/>
    <d v="2026-05-28T00:00:00"/>
    <x v="0"/>
  </r>
  <r>
    <n v="10006"/>
    <x v="1"/>
    <s v="London"/>
    <s v="Buy"/>
    <n v="100"/>
    <n v="2"/>
    <s v="GOOD"/>
    <n v="50"/>
    <s v="Win"/>
    <d v="2026-06-01T00:00:00"/>
    <x v="1"/>
  </r>
  <r>
    <n v="10006"/>
    <x v="1"/>
    <s v="London"/>
    <s v="Buy"/>
    <n v="100"/>
    <n v="1"/>
    <s v="REVIEW"/>
    <n v="100"/>
    <s v="Win"/>
    <d v="2026-01-19T00:00:00"/>
    <x v="2"/>
  </r>
  <r>
    <n v="10004"/>
    <x v="1"/>
    <s v="New York"/>
    <s v="Sell"/>
    <n v="50"/>
    <n v="1"/>
    <s v="REVIEW"/>
    <n v="50"/>
    <s v="Win"/>
    <d v="2026-04-21T00:00:00"/>
    <x v="6"/>
  </r>
  <r>
    <n v="10006"/>
    <x v="1"/>
    <s v="London"/>
    <s v="Buy"/>
    <n v="-25"/>
    <n v="-0.5"/>
    <s v="REVIEW"/>
    <n v="50"/>
    <s v="Loss"/>
    <d v="2026-06-04T00:00:00"/>
    <x v="1"/>
  </r>
  <r>
    <n v="10001"/>
    <x v="1"/>
    <s v="London"/>
    <s v="Sell"/>
    <n v="-50"/>
    <n v="-0.5"/>
    <s v="REVIEW"/>
    <n v="100"/>
    <s v="Loss"/>
    <d v="2026-04-07T00:00:00"/>
    <x v="6"/>
  </r>
  <r>
    <n v="10001"/>
    <x v="1"/>
    <s v="London"/>
    <s v="Sell"/>
    <n v="-50"/>
    <n v="-0.5"/>
    <s v="REVIEW"/>
    <n v="100"/>
    <s v="Loss"/>
    <d v="2026-03-14T00:00:00"/>
    <x v="4"/>
  </r>
  <r>
    <n v="10001"/>
    <x v="1"/>
    <s v="London"/>
    <s v="Buy"/>
    <n v="-50"/>
    <n v="-1"/>
    <s v="REVIEW"/>
    <n v="50"/>
    <s v="Loss"/>
    <d v="2026-04-16T00:00:00"/>
    <x v="6"/>
  </r>
  <r>
    <n v="10005"/>
    <x v="1"/>
    <s v="New York"/>
    <s v="Sell"/>
    <n v="-75"/>
    <n v="-1.5"/>
    <s v="REVIEW"/>
    <n v="50"/>
    <s v="Loss"/>
    <d v="2026-03-18T00:00:00"/>
    <x v="4"/>
  </r>
  <r>
    <n v="10003"/>
    <x v="1"/>
    <s v="New York"/>
    <s v="Buy"/>
    <n v="-100"/>
    <n v="-0.5"/>
    <s v="REVIEW"/>
    <n v="200"/>
    <s v="Loss"/>
    <d v="2026-05-22T00:00:00"/>
    <x v="0"/>
  </r>
  <r>
    <n v="10002"/>
    <x v="1"/>
    <s v="New York"/>
    <s v="Sell"/>
    <n v="-125"/>
    <n v="-0.5"/>
    <s v="REVIEW"/>
    <n v="250"/>
    <s v="Loss"/>
    <d v="2026-04-23T00:00:00"/>
    <x v="6"/>
  </r>
  <r>
    <n v="10005"/>
    <x v="1"/>
    <s v="New York"/>
    <s v="Sell"/>
    <n v="-125"/>
    <n v="-0.5"/>
    <s v="REVIEW"/>
    <n v="250"/>
    <s v="Loss"/>
    <d v="2026-01-20T00:00:00"/>
    <x v="2"/>
  </r>
  <r>
    <n v="10006"/>
    <x v="1"/>
    <s v="New York"/>
    <s v="Sell"/>
    <n v="-250"/>
    <n v="-1"/>
    <s v="REVIEW"/>
    <n v="250"/>
    <s v="Loss"/>
    <d v="2026-05-23T00:00:00"/>
    <x v="0"/>
  </r>
  <r>
    <n v="10004"/>
    <x v="1"/>
    <s v="London"/>
    <s v="Buy"/>
    <n v="-300"/>
    <n v="-1.5"/>
    <s v="REVIEW"/>
    <n v="200"/>
    <s v="Loss"/>
    <d v="2026-02-04T00:00:00"/>
    <x v="3"/>
  </r>
  <r>
    <n v="10003"/>
    <x v="2"/>
    <s v="New York"/>
    <s v="Sell"/>
    <n v="750"/>
    <n v="3"/>
    <s v="GOOD"/>
    <n v="250"/>
    <s v="Win"/>
    <d v="2026-01-05T00:00:00"/>
    <x v="2"/>
  </r>
  <r>
    <n v="10002"/>
    <x v="2"/>
    <s v="London"/>
    <s v="Sell"/>
    <n v="500"/>
    <n v="2.5"/>
    <s v="GOOD"/>
    <n v="200"/>
    <s v="Win"/>
    <d v="2026-06-18T00:00:00"/>
    <x v="1"/>
  </r>
  <r>
    <n v="10004"/>
    <x v="2"/>
    <s v="New York"/>
    <s v="Sell"/>
    <n v="500"/>
    <n v="2.5"/>
    <s v="GOOD"/>
    <n v="200"/>
    <s v="Win"/>
    <d v="2026-02-28T00:00:00"/>
    <x v="3"/>
  </r>
  <r>
    <n v="10001"/>
    <x v="2"/>
    <s v="New York"/>
    <s v="Sell"/>
    <n v="375"/>
    <n v="1.5"/>
    <s v="REVIEW"/>
    <n v="250"/>
    <s v="Win"/>
    <d v="2026-06-30T00:00:00"/>
    <x v="1"/>
  </r>
  <r>
    <n v="10004"/>
    <x v="2"/>
    <s v="London"/>
    <s v="Sell"/>
    <n v="300"/>
    <n v="1.5"/>
    <s v="REVIEW"/>
    <n v="200"/>
    <s v="Win"/>
    <d v="2026-05-25T00:00:00"/>
    <x v="0"/>
  </r>
  <r>
    <n v="10004"/>
    <x v="2"/>
    <s v="London"/>
    <s v="Sell"/>
    <n v="250"/>
    <n v="1"/>
    <s v="REVIEW"/>
    <n v="250"/>
    <s v="Win"/>
    <d v="2026-05-31T00:00:00"/>
    <x v="0"/>
  </r>
  <r>
    <n v="10005"/>
    <x v="2"/>
    <s v="London"/>
    <s v="Sell"/>
    <n v="200"/>
    <n v="1"/>
    <s v="REVIEW"/>
    <n v="200"/>
    <s v="Win"/>
    <d v="2026-04-08T00:00:00"/>
    <x v="6"/>
  </r>
  <r>
    <n v="10006"/>
    <x v="2"/>
    <s v="London"/>
    <s v="Sell"/>
    <n v="200"/>
    <n v="1"/>
    <s v="REVIEW"/>
    <n v="200"/>
    <s v="Win"/>
    <d v="2026-04-28T00:00:00"/>
    <x v="6"/>
  </r>
  <r>
    <n v="10004"/>
    <x v="2"/>
    <s v="London"/>
    <s v="Sell"/>
    <n v="200"/>
    <n v="2"/>
    <s v="GOOD"/>
    <n v="100"/>
    <s v="Win"/>
    <d v="2026-05-18T00:00:00"/>
    <x v="0"/>
  </r>
  <r>
    <n v="10001"/>
    <x v="2"/>
    <s v="London"/>
    <s v="Buy"/>
    <n v="150"/>
    <n v="3"/>
    <s v="GOOD"/>
    <n v="50"/>
    <s v="Win"/>
    <d v="2026-06-05T00:00:00"/>
    <x v="1"/>
  </r>
  <r>
    <n v="10004"/>
    <x v="2"/>
    <s v="London"/>
    <s v="Buy"/>
    <n v="150"/>
    <n v="3"/>
    <s v="GOOD"/>
    <n v="50"/>
    <s v="Win"/>
    <d v="2026-03-10T00:00:00"/>
    <x v="4"/>
  </r>
  <r>
    <n v="10005"/>
    <x v="2"/>
    <s v="New York"/>
    <s v="Buy"/>
    <n v="125"/>
    <n v="2.5"/>
    <s v="GOOD"/>
    <n v="50"/>
    <s v="Win"/>
    <d v="2026-02-23T00:00:00"/>
    <x v="3"/>
  </r>
  <r>
    <n v="10002"/>
    <x v="2"/>
    <s v="New York"/>
    <s v="Sell"/>
    <n v="100"/>
    <n v="2"/>
    <s v="GOOD"/>
    <n v="50"/>
    <s v="Win"/>
    <d v="2026-07-02T00:00:00"/>
    <x v="5"/>
  </r>
  <r>
    <n v="10006"/>
    <x v="2"/>
    <s v="New York"/>
    <s v="Sell"/>
    <n v="50"/>
    <n v="1"/>
    <s v="REVIEW"/>
    <n v="50"/>
    <s v="Win"/>
    <d v="2026-04-05T00:00:00"/>
    <x v="6"/>
  </r>
  <r>
    <n v="10004"/>
    <x v="2"/>
    <s v="London"/>
    <s v="Buy"/>
    <n v="50"/>
    <n v="1"/>
    <s v="REVIEW"/>
    <n v="50"/>
    <s v="Win"/>
    <d v="2026-02-16T00:00:00"/>
    <x v="3"/>
  </r>
  <r>
    <n v="10003"/>
    <x v="2"/>
    <s v="London"/>
    <s v="Buy"/>
    <n v="50"/>
    <n v="1"/>
    <s v="REVIEW"/>
    <n v="50"/>
    <s v="Win"/>
    <d v="2026-01-25T00:00:00"/>
    <x v="2"/>
  </r>
  <r>
    <n v="10005"/>
    <x v="2"/>
    <s v="London"/>
    <s v="Sell"/>
    <n v="-75"/>
    <n v="-1.5"/>
    <s v="REVIEW"/>
    <n v="50"/>
    <s v="Loss"/>
    <d v="2026-02-14T00:00:00"/>
    <x v="3"/>
  </r>
  <r>
    <n v="10004"/>
    <x v="2"/>
    <s v="New York"/>
    <s v="Sell"/>
    <n v="-75"/>
    <n v="-1.5"/>
    <s v="REVIEW"/>
    <n v="50"/>
    <s v="Loss"/>
    <d v="2026-02-01T00:00:00"/>
    <x v="3"/>
  </r>
  <r>
    <n v="10005"/>
    <x v="2"/>
    <s v="London"/>
    <s v="Sell"/>
    <n v="-100"/>
    <n v="-1"/>
    <s v="REVIEW"/>
    <n v="100"/>
    <s v="Loss"/>
    <d v="2026-02-06T00:00:00"/>
    <x v="3"/>
  </r>
  <r>
    <n v="10006"/>
    <x v="2"/>
    <s v="London"/>
    <s v="Buy"/>
    <n v="-100"/>
    <n v="-1"/>
    <s v="REVIEW"/>
    <n v="100"/>
    <s v="Loss"/>
    <d v="2026-02-19T00:00:00"/>
    <x v="3"/>
  </r>
  <r>
    <n v="10002"/>
    <x v="2"/>
    <s v="New York"/>
    <s v="Sell"/>
    <n v="-100"/>
    <n v="-0.5"/>
    <s v="REVIEW"/>
    <n v="200"/>
    <s v="Loss"/>
    <d v="2026-05-04T00:00:00"/>
    <x v="0"/>
  </r>
  <r>
    <n v="10003"/>
    <x v="2"/>
    <s v="London"/>
    <s v="Sell"/>
    <n v="-125"/>
    <n v="-0.5"/>
    <s v="REVIEW"/>
    <n v="250"/>
    <s v="Loss"/>
    <d v="2026-01-28T00:00:00"/>
    <x v="2"/>
  </r>
  <r>
    <n v="10004"/>
    <x v="2"/>
    <s v="New York"/>
    <s v="Buy"/>
    <n v="-125"/>
    <n v="-0.5"/>
    <s v="REVIEW"/>
    <n v="250"/>
    <s v="Loss"/>
    <d v="2026-04-19T00:00:00"/>
    <x v="6"/>
  </r>
  <r>
    <n v="10003"/>
    <x v="2"/>
    <s v="New York"/>
    <s v="Sell"/>
    <n v="-200"/>
    <n v="-1"/>
    <s v="REVIEW"/>
    <n v="200"/>
    <s v="Loss"/>
    <d v="2026-05-18T00:00:00"/>
    <x v="0"/>
  </r>
  <r>
    <n v="10005"/>
    <x v="2"/>
    <s v="New York"/>
    <s v="Sell"/>
    <n v="-375"/>
    <n v="-1.5"/>
    <s v="REVIEW"/>
    <n v="250"/>
    <s v="Loss"/>
    <d v="2026-02-08T00:00:00"/>
    <x v="3"/>
  </r>
  <r>
    <n v="10004"/>
    <x v="2"/>
    <s v="New York"/>
    <s v="Buy"/>
    <n v="-375"/>
    <n v="-1.5"/>
    <s v="REVIEW"/>
    <n v="250"/>
    <s v="Loss"/>
    <d v="2026-01-08T00:00:00"/>
    <x v="2"/>
  </r>
  <r>
    <n v="10005"/>
    <x v="2"/>
    <s v="London"/>
    <s v="Sell"/>
    <n v="-375"/>
    <n v="-1.5"/>
    <s v="REVIEW"/>
    <n v="250"/>
    <s v="Loss"/>
    <d v="2026-02-13T00:00:00"/>
    <x v="3"/>
  </r>
  <r>
    <n v="10002"/>
    <x v="3"/>
    <s v="London"/>
    <s v="Buy"/>
    <n v="500"/>
    <n v="2.5"/>
    <s v="GOOD"/>
    <n v="200"/>
    <s v="Win"/>
    <d v="2026-02-23T00:00:00"/>
    <x v="3"/>
  </r>
  <r>
    <n v="10002"/>
    <x v="3"/>
    <s v="New York"/>
    <s v="Buy"/>
    <n v="375"/>
    <n v="1.5"/>
    <s v="REVIEW"/>
    <n v="250"/>
    <s v="Win"/>
    <d v="2026-05-02T00:00:00"/>
    <x v="0"/>
  </r>
  <r>
    <n v="10003"/>
    <x v="3"/>
    <s v="London"/>
    <s v="Buy"/>
    <n v="300"/>
    <n v="1.5"/>
    <s v="REVIEW"/>
    <n v="200"/>
    <s v="Win"/>
    <d v="2026-06-04T00:00:00"/>
    <x v="1"/>
  </r>
  <r>
    <n v="10002"/>
    <x v="3"/>
    <s v="London"/>
    <s v="Buy"/>
    <n v="250"/>
    <n v="2.5"/>
    <s v="GOOD"/>
    <n v="100"/>
    <s v="Win"/>
    <d v="2026-04-18T00:00:00"/>
    <x v="6"/>
  </r>
  <r>
    <n v="10002"/>
    <x v="3"/>
    <s v="New York"/>
    <s v="Buy"/>
    <n v="250"/>
    <n v="2.5"/>
    <s v="GOOD"/>
    <n v="100"/>
    <s v="Win"/>
    <d v="2026-03-15T00:00:00"/>
    <x v="4"/>
  </r>
  <r>
    <n v="10006"/>
    <x v="3"/>
    <s v="London"/>
    <s v="Buy"/>
    <n v="150"/>
    <n v="1.5"/>
    <s v="REVIEW"/>
    <n v="100"/>
    <s v="Win"/>
    <d v="2026-05-16T00:00:00"/>
    <x v="0"/>
  </r>
  <r>
    <n v="10003"/>
    <x v="3"/>
    <s v="London"/>
    <s v="Buy"/>
    <n v="100"/>
    <n v="1"/>
    <s v="REVIEW"/>
    <n v="100"/>
    <s v="Win"/>
    <d v="2026-06-24T00:00:00"/>
    <x v="1"/>
  </r>
  <r>
    <n v="10003"/>
    <x v="3"/>
    <s v="New York"/>
    <s v="Sell"/>
    <n v="75"/>
    <n v="1.5"/>
    <s v="REVIEW"/>
    <n v="50"/>
    <s v="Win"/>
    <d v="2026-05-25T00:00:00"/>
    <x v="0"/>
  </r>
  <r>
    <n v="10003"/>
    <x v="3"/>
    <s v="London"/>
    <s v="Buy"/>
    <n v="-50"/>
    <n v="-0.5"/>
    <s v="REVIEW"/>
    <n v="100"/>
    <s v="Loss"/>
    <d v="2026-01-13T00:00:00"/>
    <x v="2"/>
  </r>
  <r>
    <n v="10006"/>
    <x v="3"/>
    <s v="London"/>
    <s v="Sell"/>
    <n v="-75"/>
    <n v="-1.5"/>
    <s v="REVIEW"/>
    <n v="50"/>
    <s v="Loss"/>
    <d v="2026-04-09T00:00:00"/>
    <x v="6"/>
  </r>
  <r>
    <n v="10003"/>
    <x v="3"/>
    <s v="London"/>
    <s v="Buy"/>
    <n v="-75"/>
    <n v="-1.5"/>
    <s v="REVIEW"/>
    <n v="50"/>
    <s v="Loss"/>
    <d v="2026-06-14T00:00:00"/>
    <x v="1"/>
  </r>
  <r>
    <n v="10005"/>
    <x v="3"/>
    <s v="London"/>
    <s v="Sell"/>
    <n v="-75"/>
    <n v="-1.5"/>
    <s v="REVIEW"/>
    <n v="50"/>
    <s v="Loss"/>
    <d v="2026-06-17T00:00:00"/>
    <x v="1"/>
  </r>
  <r>
    <n v="10001"/>
    <x v="3"/>
    <s v="New York"/>
    <s v="Buy"/>
    <n v="-100"/>
    <n v="-1"/>
    <s v="REVIEW"/>
    <n v="100"/>
    <s v="Loss"/>
    <d v="2026-06-07T00:00:00"/>
    <x v="1"/>
  </r>
  <r>
    <n v="10004"/>
    <x v="3"/>
    <s v="New York"/>
    <s v="Sell"/>
    <n v="-150"/>
    <n v="-1.5"/>
    <s v="REVIEW"/>
    <n v="100"/>
    <s v="Loss"/>
    <d v="2026-05-14T00:00:00"/>
    <x v="0"/>
  </r>
  <r>
    <n v="10001"/>
    <x v="3"/>
    <s v="London"/>
    <s v="Buy"/>
    <n v="-200"/>
    <n v="-1"/>
    <s v="REVIEW"/>
    <n v="200"/>
    <s v="Loss"/>
    <d v="2026-06-29T00:00:00"/>
    <x v="1"/>
  </r>
  <r>
    <n v="10003"/>
    <x v="3"/>
    <s v="London"/>
    <s v="Sell"/>
    <n v="-200"/>
    <n v="-1"/>
    <s v="REVIEW"/>
    <n v="200"/>
    <s v="Loss"/>
    <d v="2026-03-30T00:00:00"/>
    <x v="4"/>
  </r>
  <r>
    <n v="10002"/>
    <x v="3"/>
    <s v="London"/>
    <s v="Sell"/>
    <n v="-250"/>
    <n v="-1"/>
    <s v="REVIEW"/>
    <n v="250"/>
    <s v="Loss"/>
    <d v="2026-03-15T00:00:00"/>
    <x v="4"/>
  </r>
  <r>
    <n v="10005"/>
    <x v="3"/>
    <s v="London"/>
    <s v="Sell"/>
    <n v="-250"/>
    <n v="-1"/>
    <s v="REVIEW"/>
    <n v="250"/>
    <s v="Loss"/>
    <d v="2026-03-23T00:00:0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session rows" colHeaderCaption="result column">
  <location ref="A3:H10" firstHeaderRow="1" firstDataRow="3" firstDataCol="1"/>
  <pivotFields count="11"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numFmtId="14" showAll="0">
      <items count="79">
        <item x="47"/>
        <item x="28"/>
        <item x="20"/>
        <item x="16"/>
        <item x="72"/>
        <item x="4"/>
        <item x="45"/>
        <item x="31"/>
        <item x="60"/>
        <item x="65"/>
        <item x="10"/>
        <item x="62"/>
        <item x="5"/>
        <item x="29"/>
        <item x="14"/>
        <item x="67"/>
        <item x="33"/>
        <item x="35"/>
        <item x="61"/>
        <item x="59"/>
        <item x="63"/>
        <item x="56"/>
        <item x="49"/>
        <item x="17"/>
        <item x="22"/>
        <item x="6"/>
        <item x="26"/>
        <item x="21"/>
        <item x="42"/>
        <item x="70"/>
        <item x="44"/>
        <item x="8"/>
        <item x="77"/>
        <item x="12"/>
        <item x="76"/>
        <item x="58"/>
        <item x="41"/>
        <item x="52"/>
        <item x="73"/>
        <item x="30"/>
        <item x="43"/>
        <item x="69"/>
        <item x="66"/>
        <item x="39"/>
        <item x="32"/>
        <item x="53"/>
        <item x="34"/>
        <item x="68"/>
        <item x="64"/>
        <item x="18"/>
        <item x="24"/>
        <item x="75"/>
        <item x="71"/>
        <item x="54"/>
        <item x="0"/>
        <item x="46"/>
        <item x="13"/>
        <item x="2"/>
        <item x="19"/>
        <item x="37"/>
        <item x="1"/>
        <item x="9"/>
        <item x="51"/>
        <item x="38"/>
        <item x="40"/>
        <item x="55"/>
        <item x="74"/>
        <item x="3"/>
        <item x="25"/>
        <item x="11"/>
        <item x="48"/>
        <item x="15"/>
        <item x="7"/>
        <item x="36"/>
        <item x="50"/>
        <item x="27"/>
        <item x="57"/>
        <item x="2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9"/>
  </colFields>
  <colItems count="7">
    <i>
      <x/>
      <x/>
    </i>
    <i r="1">
      <x v="1"/>
    </i>
    <i t="default">
      <x/>
    </i>
    <i>
      <x v="1"/>
      <x/>
    </i>
    <i r="1">
      <x v="1"/>
    </i>
    <i t="default">
      <x v="1"/>
    </i>
    <i t="grand">
      <x/>
    </i>
  </colItems>
  <dataFields count="1">
    <dataField name="Sum of Profit" fld="5" baseField="0" baseItem="0"/>
  </dataFields>
  <formats count="1">
    <format dxfId="186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0EA72B-FE14-4000-8F0B-9F64E90E58C7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month + pair">
  <location ref="A3:B11" firstHeaderRow="1" firstDataRow="1" firstDataCol="1"/>
  <pivotFields count="11"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5">
        <item x="0"/>
        <item x="1"/>
        <item x="2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8">
        <item sd="0" x="2"/>
        <item sd="0" x="3"/>
        <item sd="0" x="4"/>
        <item sd="0" x="6"/>
        <item sd="0" x="0"/>
        <item sd="0" x="1"/>
        <item sd="0" x="5"/>
        <item t="default" sd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0"/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rba7" fld="4" baseField="10" baseItem="0"/>
  </dataFields>
  <formats count="2">
    <format dxfId="10">
      <pivotArea field="10" type="button" dataOnly="0" labelOnly="1" outline="0" axis="axisRow" fieldPosition="0"/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5E2518-381A-4A7C-B6F5-C577FA91D82A}" autoFormatId="16" applyNumberFormats="0" applyBorderFormats="0" applyFontFormats="0" applyPatternFormats="0" applyAlignmentFormats="0" applyWidthHeightFormats="0">
  <queryTableRefresh nextId="12">
    <queryTableFields count="11">
      <queryTableField id="1" name="AccountID" tableColumnId="1"/>
      <queryTableField id="2" name="Pair" tableColumnId="2"/>
      <queryTableField id="3" name="Session" tableColumnId="3"/>
      <queryTableField id="4" name="Direction" tableColumnId="4"/>
      <queryTableField id="5" name="Profit" tableColumnId="5"/>
      <queryTableField id="6" name="R" tableColumnId="6"/>
      <queryTableField id="7" name="Risk Status" tableColumnId="7"/>
      <queryTableField id="8" name="Profit per R" tableColumnId="8"/>
      <queryTableField id="9" name="Result" tableColumnId="9"/>
      <queryTableField id="10" name="TradeDate" tableColumnId="10"/>
      <queryTableField id="11" name="Month Name" tableColumnId="11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02DECA-88F9-4E49-B9E5-EC28AE4B45F9}" name="Table6" displayName="Table6" ref="A1:K57" totalsRowShown="0">
  <autoFilter ref="A1:K57" xr:uid="{3E02DECA-88F9-4E49-B9E5-EC28AE4B45F9}"/>
  <tableColumns count="11">
    <tableColumn id="1" xr3:uid="{37C8F018-C5F6-4B41-B7EC-08016868A732}" name="TradeID"/>
    <tableColumn id="2" xr3:uid="{76FD4B7D-B7A9-4301-9985-DA8BC98B8253}" name="AccountID"/>
    <tableColumn id="3" xr3:uid="{9195B2E7-A1DC-4F68-BCFE-F436A5F42CF9}" name="Pair"/>
    <tableColumn id="4" xr3:uid="{640A7DC7-1688-480E-89F1-0C1DF4CF8DDC}" name="Session"/>
    <tableColumn id="5" xr3:uid="{003D0FE2-16A7-4C56-A80C-17A9CD790A0F}" name="Direction"/>
    <tableColumn id="6" xr3:uid="{9196FB82-D35E-4156-BFCE-F69F992A7299}" name="Profit"/>
    <tableColumn id="7" xr3:uid="{86776ACD-4D39-428F-A446-A0957F0111A8}" name="R"/>
    <tableColumn id="8" xr3:uid="{011760A3-A9D1-4015-8D75-7EFE2A2FEB20}" name="Risk Status"/>
    <tableColumn id="9" xr3:uid="{8E6DF200-182D-483A-8ED0-12101EFECD0F}" name="Profit per R"/>
    <tableColumn id="10" xr3:uid="{BB6361CF-CAA7-4423-9C5D-82E0E0F6DBCD}" name="Result"/>
    <tableColumn id="11" xr3:uid="{420DB1BF-4073-4932-87BC-11D2FECAB843}" name="TradeDate" dataDxfId="18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34652A-A7F2-4976-A2C1-AC5B071A2275}" name="news_data" displayName="news_data" ref="A1:K101" tableType="queryTable" totalsRowShown="0">
  <autoFilter ref="A1:K101" xr:uid="{FC34652A-A7F2-4976-A2C1-AC5B071A2275}"/>
  <tableColumns count="11">
    <tableColumn id="1" xr3:uid="{9F90CF2D-936C-4961-B0DD-B718902FDB95}" uniqueName="1" name="AccountID" queryTableFieldId="1"/>
    <tableColumn id="2" xr3:uid="{B08BD993-6267-447A-8768-CC5A17ED98A3}" uniqueName="2" name="Pair" queryTableFieldId="2" dataDxfId="172"/>
    <tableColumn id="3" xr3:uid="{157EA9E7-9B82-453F-B068-8829B7A079B6}" uniqueName="3" name="Session" queryTableFieldId="3" dataDxfId="171"/>
    <tableColumn id="4" xr3:uid="{4079F269-E8BA-4748-8793-94D324CB3E8F}" uniqueName="4" name="Direction" queryTableFieldId="4" dataDxfId="170"/>
    <tableColumn id="5" xr3:uid="{625B8628-7C57-4052-BC79-677D5000765D}" uniqueName="5" name="Profit" queryTableFieldId="5"/>
    <tableColumn id="6" xr3:uid="{3AA37A16-6209-44A7-8558-3C2DBAAD7993}" uniqueName="6" name="R" queryTableFieldId="6"/>
    <tableColumn id="7" xr3:uid="{3E677AD5-81EA-4903-A450-119F11745646}" uniqueName="7" name="Risk Status" queryTableFieldId="7" dataDxfId="169"/>
    <tableColumn id="8" xr3:uid="{FC2FBAD5-705F-4D26-A49E-B623798CAE09}" uniqueName="8" name="Profit per R" queryTableFieldId="8"/>
    <tableColumn id="9" xr3:uid="{0D83707D-3604-46FE-83DC-B5788989AB3C}" uniqueName="9" name="Result" queryTableFieldId="9" dataDxfId="168"/>
    <tableColumn id="10" xr3:uid="{B90C0CF3-6A2B-4BDC-B09A-1AC319ECC866}" uniqueName="10" name="TradeDate" queryTableFieldId="10" dataDxfId="167"/>
    <tableColumn id="11" xr3:uid="{1A93DE6D-7F6D-46CC-A158-BBF570B1AE61}" uniqueName="11" name="Month Name" queryTableFieldId="11" dataDxfId="16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85">
      <calculatedColumnFormula>IF(OR(Table1[[#This Row],[R]]&gt;=2,Table1[[#This Row],[Profit]]&gt;500),"GOOD","REVIEW")</calculatedColumnFormula>
    </tableColumn>
    <tableColumn id="14" xr3:uid="{4778648E-2E5E-4C3F-BBFA-07AD84B520D7}" name="Profit per R" dataDxfId="184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8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82">
      <calculatedColumnFormula>TRIM(Table2[[#This Row],[Pair]])</calculatedColumnFormula>
    </tableColumn>
    <tableColumn id="4" xr3:uid="{8C11A028-E104-4984-B143-1E828A3E1EC5}" name="check trim" dataDxfId="181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80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79">
      <calculatedColumnFormula>VALUE(Table3[[#This Row],[text num]])</calculatedColumnFormula>
    </tableColumn>
    <tableColumn id="3" xr3:uid="{A32329F0-3CAE-4B77-9C4A-66E55F5E38EA}" name="check" dataDxfId="178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77" dataDxfId="176">
  <autoFilter ref="Q17:Q25" xr:uid="{9284F1F2-066B-4F54-888C-872719B32047}"/>
  <tableColumns count="1">
    <tableColumn id="1" xr3:uid="{B868BDD4-CA52-440D-A1EA-1585934AF042}" name="TradeID" dataDxfId="17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F068E-53F4-486C-916C-A193B94A4681}">
  <dimension ref="A1:K57"/>
  <sheetViews>
    <sheetView workbookViewId="0">
      <selection sqref="A1:K57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109375" customWidth="1"/>
    <col min="9" max="9" width="12" customWidth="1"/>
    <col min="11" max="11" width="11.4414062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1" x14ac:dyDescent="0.3">
      <c r="A2">
        <v>16</v>
      </c>
      <c r="B2">
        <v>10006</v>
      </c>
      <c r="C2" t="s">
        <v>9</v>
      </c>
      <c r="D2" t="s">
        <v>10</v>
      </c>
      <c r="E2" t="s">
        <v>11</v>
      </c>
      <c r="F2">
        <v>500</v>
      </c>
      <c r="G2">
        <v>2</v>
      </c>
      <c r="H2" t="s">
        <v>74</v>
      </c>
      <c r="I2">
        <v>250</v>
      </c>
      <c r="J2" t="s">
        <v>12</v>
      </c>
      <c r="K2" s="1">
        <v>46168</v>
      </c>
    </row>
    <row r="3" spans="1:11" x14ac:dyDescent="0.3">
      <c r="A3">
        <v>78</v>
      </c>
      <c r="B3">
        <v>10001</v>
      </c>
      <c r="C3" t="s">
        <v>9</v>
      </c>
      <c r="D3" t="s">
        <v>10</v>
      </c>
      <c r="E3" t="s">
        <v>11</v>
      </c>
      <c r="F3">
        <v>500</v>
      </c>
      <c r="G3">
        <v>2</v>
      </c>
      <c r="H3" t="s">
        <v>74</v>
      </c>
      <c r="I3">
        <v>250</v>
      </c>
      <c r="J3" t="s">
        <v>12</v>
      </c>
      <c r="K3" s="1">
        <v>46182</v>
      </c>
    </row>
    <row r="4" spans="1:11" x14ac:dyDescent="0.3">
      <c r="A4">
        <v>35</v>
      </c>
      <c r="B4">
        <v>10005</v>
      </c>
      <c r="C4" t="s">
        <v>9</v>
      </c>
      <c r="D4" t="s">
        <v>10</v>
      </c>
      <c r="E4" t="s">
        <v>14</v>
      </c>
      <c r="F4">
        <v>375</v>
      </c>
      <c r="G4">
        <v>1.5</v>
      </c>
      <c r="H4" t="s">
        <v>75</v>
      </c>
      <c r="I4">
        <v>250</v>
      </c>
      <c r="J4" t="s">
        <v>12</v>
      </c>
      <c r="K4" s="1">
        <v>46041</v>
      </c>
    </row>
    <row r="5" spans="1:11" x14ac:dyDescent="0.3">
      <c r="A5">
        <v>45</v>
      </c>
      <c r="B5">
        <v>10003</v>
      </c>
      <c r="C5" t="s">
        <v>9</v>
      </c>
      <c r="D5" t="s">
        <v>10</v>
      </c>
      <c r="E5" t="s">
        <v>14</v>
      </c>
      <c r="F5">
        <v>375</v>
      </c>
      <c r="G5">
        <v>1.5</v>
      </c>
      <c r="H5" t="s">
        <v>75</v>
      </c>
      <c r="I5">
        <v>250</v>
      </c>
      <c r="J5" t="s">
        <v>12</v>
      </c>
      <c r="K5" s="1">
        <v>46055</v>
      </c>
    </row>
    <row r="6" spans="1:11" x14ac:dyDescent="0.3">
      <c r="A6">
        <v>43</v>
      </c>
      <c r="B6">
        <v>10003</v>
      </c>
      <c r="C6" t="s">
        <v>9</v>
      </c>
      <c r="D6" t="s">
        <v>10</v>
      </c>
      <c r="E6" t="s">
        <v>11</v>
      </c>
      <c r="F6">
        <v>200</v>
      </c>
      <c r="G6">
        <v>2</v>
      </c>
      <c r="H6" t="s">
        <v>74</v>
      </c>
      <c r="I6">
        <v>100</v>
      </c>
      <c r="J6" t="s">
        <v>12</v>
      </c>
      <c r="K6" s="1">
        <v>46091</v>
      </c>
    </row>
    <row r="7" spans="1:11" x14ac:dyDescent="0.3">
      <c r="A7">
        <v>77</v>
      </c>
      <c r="B7">
        <v>10006</v>
      </c>
      <c r="C7" t="s">
        <v>9</v>
      </c>
      <c r="D7" t="s">
        <v>10</v>
      </c>
      <c r="E7" t="s">
        <v>11</v>
      </c>
      <c r="F7">
        <v>200</v>
      </c>
      <c r="G7">
        <v>2</v>
      </c>
      <c r="H7" t="s">
        <v>74</v>
      </c>
      <c r="I7">
        <v>100</v>
      </c>
      <c r="J7" t="s">
        <v>12</v>
      </c>
      <c r="K7" s="1">
        <v>46198</v>
      </c>
    </row>
    <row r="8" spans="1:11" x14ac:dyDescent="0.3">
      <c r="A8">
        <v>99</v>
      </c>
      <c r="B8">
        <v>10006</v>
      </c>
      <c r="C8" t="s">
        <v>9</v>
      </c>
      <c r="D8" t="s">
        <v>10</v>
      </c>
      <c r="E8" t="s">
        <v>11</v>
      </c>
      <c r="F8">
        <v>125</v>
      </c>
      <c r="G8">
        <v>2.5</v>
      </c>
      <c r="H8" t="s">
        <v>74</v>
      </c>
      <c r="I8">
        <v>50</v>
      </c>
      <c r="J8" t="s">
        <v>12</v>
      </c>
      <c r="K8" s="1">
        <v>46101</v>
      </c>
    </row>
    <row r="9" spans="1:11" x14ac:dyDescent="0.3">
      <c r="A9">
        <v>97</v>
      </c>
      <c r="B9">
        <v>10006</v>
      </c>
      <c r="C9" t="s">
        <v>9</v>
      </c>
      <c r="D9" t="s">
        <v>10</v>
      </c>
      <c r="E9" t="s">
        <v>14</v>
      </c>
      <c r="F9">
        <v>100</v>
      </c>
      <c r="G9">
        <v>1</v>
      </c>
      <c r="H9" t="s">
        <v>75</v>
      </c>
      <c r="I9">
        <v>100</v>
      </c>
      <c r="J9" t="s">
        <v>12</v>
      </c>
      <c r="K9" s="1">
        <v>46172</v>
      </c>
    </row>
    <row r="10" spans="1:11" x14ac:dyDescent="0.3">
      <c r="A10">
        <v>1</v>
      </c>
      <c r="B10">
        <v>10002</v>
      </c>
      <c r="C10" t="s">
        <v>9</v>
      </c>
      <c r="D10" t="s">
        <v>10</v>
      </c>
      <c r="E10" t="s">
        <v>11</v>
      </c>
      <c r="F10">
        <v>50</v>
      </c>
      <c r="G10">
        <v>1</v>
      </c>
      <c r="H10" t="s">
        <v>75</v>
      </c>
      <c r="I10">
        <v>50</v>
      </c>
      <c r="J10" t="s">
        <v>12</v>
      </c>
      <c r="K10" s="1">
        <v>46190</v>
      </c>
    </row>
    <row r="11" spans="1:11" x14ac:dyDescent="0.3">
      <c r="A11">
        <v>38</v>
      </c>
      <c r="B11">
        <v>10005</v>
      </c>
      <c r="C11" t="s">
        <v>9</v>
      </c>
      <c r="D11" t="s">
        <v>10</v>
      </c>
      <c r="E11" t="s">
        <v>11</v>
      </c>
      <c r="F11">
        <v>-25</v>
      </c>
      <c r="G11">
        <v>-0.5</v>
      </c>
      <c r="H11" t="s">
        <v>75</v>
      </c>
      <c r="I11">
        <v>50</v>
      </c>
      <c r="J11" t="s">
        <v>17</v>
      </c>
      <c r="K11" s="1">
        <v>46107</v>
      </c>
    </row>
    <row r="12" spans="1:11" x14ac:dyDescent="0.3">
      <c r="A12">
        <v>30</v>
      </c>
      <c r="B12">
        <v>10001</v>
      </c>
      <c r="C12" t="s">
        <v>9</v>
      </c>
      <c r="D12" t="s">
        <v>10</v>
      </c>
      <c r="E12" t="s">
        <v>14</v>
      </c>
      <c r="F12">
        <v>-50</v>
      </c>
      <c r="G12">
        <v>-0.5</v>
      </c>
      <c r="H12" t="s">
        <v>75</v>
      </c>
      <c r="I12">
        <v>100</v>
      </c>
      <c r="J12" t="s">
        <v>17</v>
      </c>
      <c r="K12" s="1">
        <v>46167</v>
      </c>
    </row>
    <row r="13" spans="1:11" x14ac:dyDescent="0.3">
      <c r="A13">
        <v>86</v>
      </c>
      <c r="B13">
        <v>10002</v>
      </c>
      <c r="C13" t="s">
        <v>9</v>
      </c>
      <c r="D13" t="s">
        <v>10</v>
      </c>
      <c r="E13" t="s">
        <v>14</v>
      </c>
      <c r="F13">
        <v>-100</v>
      </c>
      <c r="G13">
        <v>-1</v>
      </c>
      <c r="H13" t="s">
        <v>75</v>
      </c>
      <c r="I13">
        <v>100</v>
      </c>
      <c r="J13" t="s">
        <v>17</v>
      </c>
      <c r="K13" s="1">
        <v>46169</v>
      </c>
    </row>
    <row r="14" spans="1:11" x14ac:dyDescent="0.3">
      <c r="A14">
        <v>61</v>
      </c>
      <c r="B14">
        <v>10005</v>
      </c>
      <c r="C14" t="s">
        <v>9</v>
      </c>
      <c r="D14" t="s">
        <v>10</v>
      </c>
      <c r="E14" t="s">
        <v>11</v>
      </c>
      <c r="F14">
        <v>-125</v>
      </c>
      <c r="G14">
        <v>-0.5</v>
      </c>
      <c r="H14" t="s">
        <v>75</v>
      </c>
      <c r="I14">
        <v>250</v>
      </c>
      <c r="J14" t="s">
        <v>17</v>
      </c>
      <c r="K14" s="1">
        <v>46033</v>
      </c>
    </row>
    <row r="15" spans="1:11" x14ac:dyDescent="0.3">
      <c r="A15">
        <v>34</v>
      </c>
      <c r="B15">
        <v>10005</v>
      </c>
      <c r="C15" t="s">
        <v>9</v>
      </c>
      <c r="D15" t="s">
        <v>10</v>
      </c>
      <c r="E15" t="s">
        <v>11</v>
      </c>
      <c r="F15">
        <v>-150</v>
      </c>
      <c r="G15">
        <v>-1.5</v>
      </c>
      <c r="H15" t="s">
        <v>75</v>
      </c>
      <c r="I15">
        <v>100</v>
      </c>
      <c r="J15" t="s">
        <v>17</v>
      </c>
      <c r="K15" s="1">
        <v>46107</v>
      </c>
    </row>
    <row r="16" spans="1:11" x14ac:dyDescent="0.3">
      <c r="A16">
        <v>13</v>
      </c>
      <c r="B16">
        <v>10006</v>
      </c>
      <c r="C16" t="s">
        <v>15</v>
      </c>
      <c r="D16" t="s">
        <v>10</v>
      </c>
      <c r="E16" t="s">
        <v>11</v>
      </c>
      <c r="F16">
        <v>750</v>
      </c>
      <c r="G16">
        <v>3</v>
      </c>
      <c r="H16" t="s">
        <v>74</v>
      </c>
      <c r="I16">
        <v>250</v>
      </c>
      <c r="J16" t="s">
        <v>12</v>
      </c>
      <c r="K16" s="1">
        <v>46094</v>
      </c>
    </row>
    <row r="17" spans="1:11" x14ac:dyDescent="0.3">
      <c r="A17">
        <v>98</v>
      </c>
      <c r="B17">
        <v>10001</v>
      </c>
      <c r="C17" t="s">
        <v>15</v>
      </c>
      <c r="D17" t="s">
        <v>10</v>
      </c>
      <c r="E17" t="s">
        <v>14</v>
      </c>
      <c r="F17">
        <v>750</v>
      </c>
      <c r="G17">
        <v>3</v>
      </c>
      <c r="H17" t="s">
        <v>74</v>
      </c>
      <c r="I17">
        <v>250</v>
      </c>
      <c r="J17" t="s">
        <v>12</v>
      </c>
      <c r="K17" s="1">
        <v>46088</v>
      </c>
    </row>
    <row r="18" spans="1:11" x14ac:dyDescent="0.3">
      <c r="A18">
        <v>68</v>
      </c>
      <c r="B18">
        <v>10004</v>
      </c>
      <c r="C18" t="s">
        <v>15</v>
      </c>
      <c r="D18" t="s">
        <v>10</v>
      </c>
      <c r="E18" t="s">
        <v>11</v>
      </c>
      <c r="F18">
        <v>625</v>
      </c>
      <c r="G18">
        <v>2.5</v>
      </c>
      <c r="H18" t="s">
        <v>74</v>
      </c>
      <c r="I18">
        <v>250</v>
      </c>
      <c r="J18" t="s">
        <v>12</v>
      </c>
      <c r="K18" s="1">
        <v>46207</v>
      </c>
    </row>
    <row r="19" spans="1:11" x14ac:dyDescent="0.3">
      <c r="A19">
        <v>76</v>
      </c>
      <c r="B19">
        <v>10005</v>
      </c>
      <c r="C19" t="s">
        <v>15</v>
      </c>
      <c r="D19" t="s">
        <v>10</v>
      </c>
      <c r="E19" t="s">
        <v>14</v>
      </c>
      <c r="F19">
        <v>375</v>
      </c>
      <c r="G19">
        <v>1.5</v>
      </c>
      <c r="H19" t="s">
        <v>75</v>
      </c>
      <c r="I19">
        <v>250</v>
      </c>
      <c r="J19" t="s">
        <v>12</v>
      </c>
      <c r="K19" s="1">
        <v>46034</v>
      </c>
    </row>
    <row r="20" spans="1:11" x14ac:dyDescent="0.3">
      <c r="A20">
        <v>10</v>
      </c>
      <c r="B20">
        <v>10004</v>
      </c>
      <c r="C20" t="s">
        <v>15</v>
      </c>
      <c r="D20" t="s">
        <v>10</v>
      </c>
      <c r="E20" t="s">
        <v>14</v>
      </c>
      <c r="F20">
        <v>300</v>
      </c>
      <c r="G20">
        <v>3</v>
      </c>
      <c r="H20" t="s">
        <v>74</v>
      </c>
      <c r="I20">
        <v>100</v>
      </c>
      <c r="J20" t="s">
        <v>12</v>
      </c>
      <c r="K20" s="1">
        <v>46182</v>
      </c>
    </row>
    <row r="21" spans="1:11" x14ac:dyDescent="0.3">
      <c r="A21">
        <v>23</v>
      </c>
      <c r="B21">
        <v>10003</v>
      </c>
      <c r="C21" t="s">
        <v>15</v>
      </c>
      <c r="D21" t="s">
        <v>10</v>
      </c>
      <c r="E21" t="s">
        <v>14</v>
      </c>
      <c r="F21">
        <v>300</v>
      </c>
      <c r="G21">
        <v>3</v>
      </c>
      <c r="H21" t="s">
        <v>74</v>
      </c>
      <c r="I21">
        <v>100</v>
      </c>
      <c r="J21" t="s">
        <v>12</v>
      </c>
      <c r="K21" s="1">
        <v>46057</v>
      </c>
    </row>
    <row r="22" spans="1:11" x14ac:dyDescent="0.3">
      <c r="A22">
        <v>63</v>
      </c>
      <c r="B22">
        <v>10001</v>
      </c>
      <c r="C22" t="s">
        <v>15</v>
      </c>
      <c r="D22" t="s">
        <v>10</v>
      </c>
      <c r="E22" t="s">
        <v>11</v>
      </c>
      <c r="F22">
        <v>250</v>
      </c>
      <c r="G22">
        <v>1</v>
      </c>
      <c r="H22" t="s">
        <v>75</v>
      </c>
      <c r="I22">
        <v>250</v>
      </c>
      <c r="J22" t="s">
        <v>12</v>
      </c>
      <c r="K22" s="1">
        <v>46135</v>
      </c>
    </row>
    <row r="23" spans="1:11" x14ac:dyDescent="0.3">
      <c r="A23">
        <v>7</v>
      </c>
      <c r="B23">
        <v>10006</v>
      </c>
      <c r="C23" t="s">
        <v>15</v>
      </c>
      <c r="D23" t="s">
        <v>10</v>
      </c>
      <c r="E23" t="s">
        <v>14</v>
      </c>
      <c r="F23">
        <v>100</v>
      </c>
      <c r="G23">
        <v>2</v>
      </c>
      <c r="H23" t="s">
        <v>74</v>
      </c>
      <c r="I23">
        <v>50</v>
      </c>
      <c r="J23" t="s">
        <v>12</v>
      </c>
      <c r="K23" s="1">
        <v>46174</v>
      </c>
    </row>
    <row r="24" spans="1:11" x14ac:dyDescent="0.3">
      <c r="A24">
        <v>20</v>
      </c>
      <c r="B24">
        <v>10006</v>
      </c>
      <c r="C24" t="s">
        <v>15</v>
      </c>
      <c r="D24" t="s">
        <v>10</v>
      </c>
      <c r="E24" t="s">
        <v>14</v>
      </c>
      <c r="F24">
        <v>100</v>
      </c>
      <c r="G24">
        <v>1</v>
      </c>
      <c r="H24" t="s">
        <v>75</v>
      </c>
      <c r="I24">
        <v>100</v>
      </c>
      <c r="J24" t="s">
        <v>12</v>
      </c>
      <c r="K24" s="1">
        <v>46041</v>
      </c>
    </row>
    <row r="25" spans="1:11" x14ac:dyDescent="0.3">
      <c r="A25">
        <v>24</v>
      </c>
      <c r="B25">
        <v>10006</v>
      </c>
      <c r="C25" t="s">
        <v>15</v>
      </c>
      <c r="D25" t="s">
        <v>10</v>
      </c>
      <c r="E25" t="s">
        <v>14</v>
      </c>
      <c r="F25">
        <v>-25</v>
      </c>
      <c r="G25">
        <v>-0.5</v>
      </c>
      <c r="H25" t="s">
        <v>75</v>
      </c>
      <c r="I25">
        <v>50</v>
      </c>
      <c r="J25" t="s">
        <v>17</v>
      </c>
      <c r="K25" s="1">
        <v>46177</v>
      </c>
    </row>
    <row r="26" spans="1:11" x14ac:dyDescent="0.3">
      <c r="A26">
        <v>14</v>
      </c>
      <c r="B26">
        <v>10001</v>
      </c>
      <c r="C26" t="s">
        <v>15</v>
      </c>
      <c r="D26" t="s">
        <v>10</v>
      </c>
      <c r="E26" t="s">
        <v>11</v>
      </c>
      <c r="F26">
        <v>-50</v>
      </c>
      <c r="G26">
        <v>-0.5</v>
      </c>
      <c r="H26" t="s">
        <v>75</v>
      </c>
      <c r="I26">
        <v>100</v>
      </c>
      <c r="J26" t="s">
        <v>17</v>
      </c>
      <c r="K26" s="1">
        <v>46119</v>
      </c>
    </row>
    <row r="27" spans="1:11" x14ac:dyDescent="0.3">
      <c r="A27">
        <v>49</v>
      </c>
      <c r="B27">
        <v>10001</v>
      </c>
      <c r="C27" t="s">
        <v>15</v>
      </c>
      <c r="D27" t="s">
        <v>10</v>
      </c>
      <c r="E27" t="s">
        <v>11</v>
      </c>
      <c r="F27">
        <v>-50</v>
      </c>
      <c r="G27">
        <v>-0.5</v>
      </c>
      <c r="H27" t="s">
        <v>75</v>
      </c>
      <c r="I27">
        <v>100</v>
      </c>
      <c r="J27" t="s">
        <v>17</v>
      </c>
      <c r="K27" s="1">
        <v>46095</v>
      </c>
    </row>
    <row r="28" spans="1:11" x14ac:dyDescent="0.3">
      <c r="A28">
        <v>79</v>
      </c>
      <c r="B28">
        <v>10001</v>
      </c>
      <c r="C28" t="s">
        <v>15</v>
      </c>
      <c r="D28" t="s">
        <v>10</v>
      </c>
      <c r="E28" t="s">
        <v>14</v>
      </c>
      <c r="F28">
        <v>-50</v>
      </c>
      <c r="G28">
        <v>-1</v>
      </c>
      <c r="H28" t="s">
        <v>75</v>
      </c>
      <c r="I28">
        <v>50</v>
      </c>
      <c r="J28" t="s">
        <v>17</v>
      </c>
      <c r="K28" s="1">
        <v>46128</v>
      </c>
    </row>
    <row r="29" spans="1:11" x14ac:dyDescent="0.3">
      <c r="A29">
        <v>36</v>
      </c>
      <c r="B29">
        <v>10004</v>
      </c>
      <c r="C29" t="s">
        <v>15</v>
      </c>
      <c r="D29" t="s">
        <v>10</v>
      </c>
      <c r="E29" t="s">
        <v>14</v>
      </c>
      <c r="F29">
        <v>-300</v>
      </c>
      <c r="G29">
        <v>-1.5</v>
      </c>
      <c r="H29" t="s">
        <v>75</v>
      </c>
      <c r="I29">
        <v>200</v>
      </c>
      <c r="J29" t="s">
        <v>17</v>
      </c>
      <c r="K29" s="1">
        <v>46057</v>
      </c>
    </row>
    <row r="30" spans="1:11" x14ac:dyDescent="0.3">
      <c r="A30">
        <v>82</v>
      </c>
      <c r="B30">
        <v>10005</v>
      </c>
      <c r="C30" t="s">
        <v>13</v>
      </c>
      <c r="D30" t="s">
        <v>10</v>
      </c>
      <c r="E30" t="s">
        <v>11</v>
      </c>
      <c r="F30">
        <v>-375</v>
      </c>
      <c r="G30">
        <v>-1.5</v>
      </c>
      <c r="H30" t="s">
        <v>75</v>
      </c>
      <c r="I30">
        <v>250</v>
      </c>
      <c r="J30" t="s">
        <v>17</v>
      </c>
      <c r="K30" s="1">
        <v>46066</v>
      </c>
    </row>
    <row r="31" spans="1:11" x14ac:dyDescent="0.3">
      <c r="A31">
        <v>5</v>
      </c>
      <c r="B31">
        <v>10003</v>
      </c>
      <c r="C31" t="s">
        <v>13</v>
      </c>
      <c r="D31" t="s">
        <v>10</v>
      </c>
      <c r="E31" t="s">
        <v>11</v>
      </c>
      <c r="F31">
        <v>-125</v>
      </c>
      <c r="G31">
        <v>-0.5</v>
      </c>
      <c r="H31" t="s">
        <v>75</v>
      </c>
      <c r="I31">
        <v>250</v>
      </c>
      <c r="J31" t="s">
        <v>17</v>
      </c>
      <c r="K31" s="1">
        <v>46050</v>
      </c>
    </row>
    <row r="32" spans="1:11" x14ac:dyDescent="0.3">
      <c r="A32">
        <v>48</v>
      </c>
      <c r="B32">
        <v>10006</v>
      </c>
      <c r="C32" t="s">
        <v>13</v>
      </c>
      <c r="D32" t="s">
        <v>10</v>
      </c>
      <c r="E32" t="s">
        <v>14</v>
      </c>
      <c r="F32">
        <v>-100</v>
      </c>
      <c r="G32">
        <v>-1</v>
      </c>
      <c r="H32" t="s">
        <v>75</v>
      </c>
      <c r="I32">
        <v>100</v>
      </c>
      <c r="J32" t="s">
        <v>17</v>
      </c>
      <c r="K32" s="1">
        <v>46072</v>
      </c>
    </row>
    <row r="33" spans="1:11" x14ac:dyDescent="0.3">
      <c r="A33">
        <v>21</v>
      </c>
      <c r="B33">
        <v>10005</v>
      </c>
      <c r="C33" t="s">
        <v>13</v>
      </c>
      <c r="D33" t="s">
        <v>10</v>
      </c>
      <c r="E33" t="s">
        <v>11</v>
      </c>
      <c r="F33">
        <v>-100</v>
      </c>
      <c r="G33">
        <v>-1</v>
      </c>
      <c r="H33" t="s">
        <v>75</v>
      </c>
      <c r="I33">
        <v>100</v>
      </c>
      <c r="J33" t="s">
        <v>17</v>
      </c>
      <c r="K33" s="1">
        <v>46059</v>
      </c>
    </row>
    <row r="34" spans="1:11" x14ac:dyDescent="0.3">
      <c r="A34">
        <v>17</v>
      </c>
      <c r="B34">
        <v>10005</v>
      </c>
      <c r="C34" t="s">
        <v>13</v>
      </c>
      <c r="D34" t="s">
        <v>10</v>
      </c>
      <c r="E34" t="s">
        <v>11</v>
      </c>
      <c r="F34">
        <v>-75</v>
      </c>
      <c r="G34">
        <v>-1.5</v>
      </c>
      <c r="H34" t="s">
        <v>75</v>
      </c>
      <c r="I34">
        <v>50</v>
      </c>
      <c r="J34" t="s">
        <v>17</v>
      </c>
      <c r="K34" s="1">
        <v>46067</v>
      </c>
    </row>
    <row r="35" spans="1:11" x14ac:dyDescent="0.3">
      <c r="A35">
        <v>75</v>
      </c>
      <c r="B35">
        <v>10003</v>
      </c>
      <c r="C35" t="s">
        <v>13</v>
      </c>
      <c r="D35" t="s">
        <v>10</v>
      </c>
      <c r="E35" t="s">
        <v>14</v>
      </c>
      <c r="F35">
        <v>50</v>
      </c>
      <c r="G35">
        <v>1</v>
      </c>
      <c r="H35" t="s">
        <v>75</v>
      </c>
      <c r="I35">
        <v>50</v>
      </c>
      <c r="J35" t="s">
        <v>12</v>
      </c>
      <c r="K35" s="1">
        <v>46047</v>
      </c>
    </row>
    <row r="36" spans="1:11" x14ac:dyDescent="0.3">
      <c r="A36">
        <v>72</v>
      </c>
      <c r="B36">
        <v>10004</v>
      </c>
      <c r="C36" t="s">
        <v>13</v>
      </c>
      <c r="D36" t="s">
        <v>10</v>
      </c>
      <c r="E36" t="s">
        <v>14</v>
      </c>
      <c r="F36">
        <v>50</v>
      </c>
      <c r="G36">
        <v>1</v>
      </c>
      <c r="H36" t="s">
        <v>75</v>
      </c>
      <c r="I36">
        <v>50</v>
      </c>
      <c r="J36" t="s">
        <v>12</v>
      </c>
      <c r="K36" s="1">
        <v>46069</v>
      </c>
    </row>
    <row r="37" spans="1:11" x14ac:dyDescent="0.3">
      <c r="A37">
        <v>94</v>
      </c>
      <c r="B37">
        <v>10004</v>
      </c>
      <c r="C37" t="s">
        <v>13</v>
      </c>
      <c r="D37" t="s">
        <v>10</v>
      </c>
      <c r="E37" t="s">
        <v>14</v>
      </c>
      <c r="F37">
        <v>150</v>
      </c>
      <c r="G37">
        <v>3</v>
      </c>
      <c r="H37" t="s">
        <v>74</v>
      </c>
      <c r="I37">
        <v>50</v>
      </c>
      <c r="J37" t="s">
        <v>12</v>
      </c>
      <c r="K37" s="1">
        <v>46091</v>
      </c>
    </row>
    <row r="38" spans="1:11" x14ac:dyDescent="0.3">
      <c r="A38">
        <v>2</v>
      </c>
      <c r="B38">
        <v>10001</v>
      </c>
      <c r="C38" t="s">
        <v>13</v>
      </c>
      <c r="D38" t="s">
        <v>10</v>
      </c>
      <c r="E38" t="s">
        <v>14</v>
      </c>
      <c r="F38">
        <v>150</v>
      </c>
      <c r="G38">
        <v>3</v>
      </c>
      <c r="H38" t="s">
        <v>74</v>
      </c>
      <c r="I38">
        <v>50</v>
      </c>
      <c r="J38" t="s">
        <v>12</v>
      </c>
      <c r="K38" s="1">
        <v>46178</v>
      </c>
    </row>
    <row r="39" spans="1:11" x14ac:dyDescent="0.3">
      <c r="A39">
        <v>66</v>
      </c>
      <c r="B39">
        <v>10004</v>
      </c>
      <c r="C39" t="s">
        <v>13</v>
      </c>
      <c r="D39" t="s">
        <v>10</v>
      </c>
      <c r="E39" t="s">
        <v>11</v>
      </c>
      <c r="F39">
        <v>200</v>
      </c>
      <c r="G39">
        <v>2</v>
      </c>
      <c r="H39" t="s">
        <v>74</v>
      </c>
      <c r="I39">
        <v>100</v>
      </c>
      <c r="J39" t="s">
        <v>12</v>
      </c>
      <c r="K39" s="1">
        <v>46160</v>
      </c>
    </row>
    <row r="40" spans="1:11" x14ac:dyDescent="0.3">
      <c r="A40">
        <v>59</v>
      </c>
      <c r="B40">
        <v>10006</v>
      </c>
      <c r="C40" t="s">
        <v>13</v>
      </c>
      <c r="D40" t="s">
        <v>10</v>
      </c>
      <c r="E40" t="s">
        <v>11</v>
      </c>
      <c r="F40">
        <v>200</v>
      </c>
      <c r="G40">
        <v>1</v>
      </c>
      <c r="H40" t="s">
        <v>75</v>
      </c>
      <c r="I40">
        <v>200</v>
      </c>
      <c r="J40" t="s">
        <v>12</v>
      </c>
      <c r="K40" s="1">
        <v>46140</v>
      </c>
    </row>
    <row r="41" spans="1:11" x14ac:dyDescent="0.3">
      <c r="A41">
        <v>55</v>
      </c>
      <c r="B41">
        <v>10005</v>
      </c>
      <c r="C41" t="s">
        <v>13</v>
      </c>
      <c r="D41" t="s">
        <v>10</v>
      </c>
      <c r="E41" t="s">
        <v>11</v>
      </c>
      <c r="F41">
        <v>200</v>
      </c>
      <c r="G41">
        <v>1</v>
      </c>
      <c r="H41" t="s">
        <v>75</v>
      </c>
      <c r="I41">
        <v>200</v>
      </c>
      <c r="J41" t="s">
        <v>12</v>
      </c>
      <c r="K41" s="1">
        <v>46120</v>
      </c>
    </row>
    <row r="42" spans="1:11" x14ac:dyDescent="0.3">
      <c r="A42">
        <v>26</v>
      </c>
      <c r="B42">
        <v>10004</v>
      </c>
      <c r="C42" t="s">
        <v>13</v>
      </c>
      <c r="D42" t="s">
        <v>10</v>
      </c>
      <c r="E42" t="s">
        <v>11</v>
      </c>
      <c r="F42">
        <v>250</v>
      </c>
      <c r="G42">
        <v>1</v>
      </c>
      <c r="H42" t="s">
        <v>75</v>
      </c>
      <c r="I42">
        <v>250</v>
      </c>
      <c r="J42" t="s">
        <v>12</v>
      </c>
      <c r="K42" s="1">
        <v>46173</v>
      </c>
    </row>
    <row r="43" spans="1:11" x14ac:dyDescent="0.3">
      <c r="A43">
        <v>65</v>
      </c>
      <c r="B43">
        <v>10004</v>
      </c>
      <c r="C43" t="s">
        <v>13</v>
      </c>
      <c r="D43" t="s">
        <v>10</v>
      </c>
      <c r="E43" t="s">
        <v>11</v>
      </c>
      <c r="F43">
        <v>300</v>
      </c>
      <c r="G43">
        <v>1.5</v>
      </c>
      <c r="H43" t="s">
        <v>75</v>
      </c>
      <c r="I43">
        <v>200</v>
      </c>
      <c r="J43" t="s">
        <v>12</v>
      </c>
      <c r="K43" s="1">
        <v>46167</v>
      </c>
    </row>
    <row r="44" spans="1:11" x14ac:dyDescent="0.3">
      <c r="A44">
        <v>73</v>
      </c>
      <c r="B44">
        <v>10002</v>
      </c>
      <c r="C44" t="s">
        <v>13</v>
      </c>
      <c r="D44" t="s">
        <v>10</v>
      </c>
      <c r="E44" t="s">
        <v>11</v>
      </c>
      <c r="F44">
        <v>500</v>
      </c>
      <c r="G44">
        <v>2.5</v>
      </c>
      <c r="H44" t="s">
        <v>74</v>
      </c>
      <c r="I44">
        <v>200</v>
      </c>
      <c r="J44" t="s">
        <v>12</v>
      </c>
      <c r="K44" s="1">
        <v>46191</v>
      </c>
    </row>
    <row r="45" spans="1:11" x14ac:dyDescent="0.3">
      <c r="A45">
        <v>58</v>
      </c>
      <c r="B45">
        <v>10005</v>
      </c>
      <c r="C45" t="s">
        <v>18</v>
      </c>
      <c r="D45" t="s">
        <v>10</v>
      </c>
      <c r="E45" t="s">
        <v>11</v>
      </c>
      <c r="F45">
        <v>-250</v>
      </c>
      <c r="G45">
        <v>-1</v>
      </c>
      <c r="H45" t="s">
        <v>75</v>
      </c>
      <c r="I45">
        <v>250</v>
      </c>
      <c r="J45" t="s">
        <v>17</v>
      </c>
      <c r="K45" s="1">
        <v>46104</v>
      </c>
    </row>
    <row r="46" spans="1:11" x14ac:dyDescent="0.3">
      <c r="A46">
        <v>42</v>
      </c>
      <c r="B46">
        <v>10002</v>
      </c>
      <c r="C46" t="s">
        <v>18</v>
      </c>
      <c r="D46" t="s">
        <v>10</v>
      </c>
      <c r="E46" t="s">
        <v>11</v>
      </c>
      <c r="F46">
        <v>-250</v>
      </c>
      <c r="G46">
        <v>-1</v>
      </c>
      <c r="H46" t="s">
        <v>75</v>
      </c>
      <c r="I46">
        <v>250</v>
      </c>
      <c r="J46" t="s">
        <v>17</v>
      </c>
      <c r="K46" s="1">
        <v>46096</v>
      </c>
    </row>
    <row r="47" spans="1:11" x14ac:dyDescent="0.3">
      <c r="A47">
        <v>51</v>
      </c>
      <c r="B47">
        <v>10003</v>
      </c>
      <c r="C47" t="s">
        <v>18</v>
      </c>
      <c r="D47" t="s">
        <v>10</v>
      </c>
      <c r="E47" t="s">
        <v>11</v>
      </c>
      <c r="F47">
        <v>-200</v>
      </c>
      <c r="G47">
        <v>-1</v>
      </c>
      <c r="H47" t="s">
        <v>75</v>
      </c>
      <c r="I47">
        <v>200</v>
      </c>
      <c r="J47" t="s">
        <v>17</v>
      </c>
      <c r="K47" s="1">
        <v>46111</v>
      </c>
    </row>
    <row r="48" spans="1:11" x14ac:dyDescent="0.3">
      <c r="A48">
        <v>11</v>
      </c>
      <c r="B48">
        <v>10001</v>
      </c>
      <c r="C48" t="s">
        <v>18</v>
      </c>
      <c r="D48" t="s">
        <v>10</v>
      </c>
      <c r="E48" t="s">
        <v>14</v>
      </c>
      <c r="F48">
        <v>-200</v>
      </c>
      <c r="G48">
        <v>-1</v>
      </c>
      <c r="H48" t="s">
        <v>75</v>
      </c>
      <c r="I48">
        <v>200</v>
      </c>
      <c r="J48" t="s">
        <v>17</v>
      </c>
      <c r="K48" s="1">
        <v>46202</v>
      </c>
    </row>
    <row r="49" spans="1:11" x14ac:dyDescent="0.3">
      <c r="A49">
        <v>44</v>
      </c>
      <c r="B49">
        <v>10005</v>
      </c>
      <c r="C49" t="s">
        <v>18</v>
      </c>
      <c r="D49" t="s">
        <v>10</v>
      </c>
      <c r="E49" t="s">
        <v>11</v>
      </c>
      <c r="F49">
        <v>-75</v>
      </c>
      <c r="G49">
        <v>-1.5</v>
      </c>
      <c r="H49" t="s">
        <v>75</v>
      </c>
      <c r="I49">
        <v>50</v>
      </c>
      <c r="J49" t="s">
        <v>17</v>
      </c>
      <c r="K49" s="1">
        <v>46190</v>
      </c>
    </row>
    <row r="50" spans="1:11" x14ac:dyDescent="0.3">
      <c r="A50">
        <v>18</v>
      </c>
      <c r="B50">
        <v>10003</v>
      </c>
      <c r="C50" t="s">
        <v>18</v>
      </c>
      <c r="D50" t="s">
        <v>10</v>
      </c>
      <c r="E50" t="s">
        <v>14</v>
      </c>
      <c r="F50">
        <v>-75</v>
      </c>
      <c r="G50">
        <v>-1.5</v>
      </c>
      <c r="H50" t="s">
        <v>75</v>
      </c>
      <c r="I50">
        <v>50</v>
      </c>
      <c r="J50" t="s">
        <v>17</v>
      </c>
      <c r="K50" s="1">
        <v>46187</v>
      </c>
    </row>
    <row r="51" spans="1:11" x14ac:dyDescent="0.3">
      <c r="A51">
        <v>9</v>
      </c>
      <c r="B51">
        <v>10006</v>
      </c>
      <c r="C51" t="s">
        <v>18</v>
      </c>
      <c r="D51" t="s">
        <v>10</v>
      </c>
      <c r="E51" t="s">
        <v>11</v>
      </c>
      <c r="F51">
        <v>-75</v>
      </c>
      <c r="G51">
        <v>-1.5</v>
      </c>
      <c r="H51" t="s">
        <v>75</v>
      </c>
      <c r="I51">
        <v>50</v>
      </c>
      <c r="J51" t="s">
        <v>17</v>
      </c>
      <c r="K51" s="1">
        <v>46121</v>
      </c>
    </row>
    <row r="52" spans="1:11" x14ac:dyDescent="0.3">
      <c r="A52">
        <v>25</v>
      </c>
      <c r="B52">
        <v>10003</v>
      </c>
      <c r="C52" t="s">
        <v>18</v>
      </c>
      <c r="D52" t="s">
        <v>10</v>
      </c>
      <c r="E52" t="s">
        <v>14</v>
      </c>
      <c r="F52">
        <v>-50</v>
      </c>
      <c r="G52">
        <v>-0.5</v>
      </c>
      <c r="H52" t="s">
        <v>75</v>
      </c>
      <c r="I52">
        <v>100</v>
      </c>
      <c r="J52" t="s">
        <v>17</v>
      </c>
      <c r="K52" s="1">
        <v>46035</v>
      </c>
    </row>
    <row r="53" spans="1:11" x14ac:dyDescent="0.3">
      <c r="A53">
        <v>41</v>
      </c>
      <c r="B53">
        <v>10003</v>
      </c>
      <c r="C53" t="s">
        <v>18</v>
      </c>
      <c r="D53" t="s">
        <v>10</v>
      </c>
      <c r="E53" t="s">
        <v>14</v>
      </c>
      <c r="F53">
        <v>100</v>
      </c>
      <c r="G53">
        <v>1</v>
      </c>
      <c r="H53" t="s">
        <v>75</v>
      </c>
      <c r="I53">
        <v>100</v>
      </c>
      <c r="J53" t="s">
        <v>12</v>
      </c>
      <c r="K53" s="1">
        <v>46197</v>
      </c>
    </row>
    <row r="54" spans="1:11" x14ac:dyDescent="0.3">
      <c r="A54">
        <v>60</v>
      </c>
      <c r="B54">
        <v>10006</v>
      </c>
      <c r="C54" t="s">
        <v>18</v>
      </c>
      <c r="D54" t="s">
        <v>10</v>
      </c>
      <c r="E54" t="s">
        <v>14</v>
      </c>
      <c r="F54">
        <v>150</v>
      </c>
      <c r="G54">
        <v>1.5</v>
      </c>
      <c r="H54" t="s">
        <v>75</v>
      </c>
      <c r="I54">
        <v>100</v>
      </c>
      <c r="J54" t="s">
        <v>12</v>
      </c>
      <c r="K54" s="1">
        <v>46158</v>
      </c>
    </row>
    <row r="55" spans="1:11" x14ac:dyDescent="0.3">
      <c r="A55">
        <v>28</v>
      </c>
      <c r="B55">
        <v>10002</v>
      </c>
      <c r="C55" t="s">
        <v>18</v>
      </c>
      <c r="D55" t="s">
        <v>10</v>
      </c>
      <c r="E55" t="s">
        <v>14</v>
      </c>
      <c r="F55">
        <v>250</v>
      </c>
      <c r="G55">
        <v>2.5</v>
      </c>
      <c r="H55" t="s">
        <v>74</v>
      </c>
      <c r="I55">
        <v>100</v>
      </c>
      <c r="J55" t="s">
        <v>12</v>
      </c>
      <c r="K55" s="1">
        <v>46130</v>
      </c>
    </row>
    <row r="56" spans="1:11" x14ac:dyDescent="0.3">
      <c r="A56">
        <v>91</v>
      </c>
      <c r="B56">
        <v>10003</v>
      </c>
      <c r="C56" t="s">
        <v>18</v>
      </c>
      <c r="D56" t="s">
        <v>10</v>
      </c>
      <c r="E56" t="s">
        <v>14</v>
      </c>
      <c r="F56">
        <v>300</v>
      </c>
      <c r="G56">
        <v>1.5</v>
      </c>
      <c r="H56" t="s">
        <v>75</v>
      </c>
      <c r="I56">
        <v>200</v>
      </c>
      <c r="J56" t="s">
        <v>12</v>
      </c>
      <c r="K56" s="1">
        <v>46177</v>
      </c>
    </row>
    <row r="57" spans="1:11" x14ac:dyDescent="0.3">
      <c r="A57">
        <v>90</v>
      </c>
      <c r="B57">
        <v>10002</v>
      </c>
      <c r="C57" t="s">
        <v>18</v>
      </c>
      <c r="D57" t="s">
        <v>10</v>
      </c>
      <c r="E57" t="s">
        <v>14</v>
      </c>
      <c r="F57">
        <v>500</v>
      </c>
      <c r="G57">
        <v>2.5</v>
      </c>
      <c r="H57" t="s">
        <v>74</v>
      </c>
      <c r="I57">
        <v>200</v>
      </c>
      <c r="J57" t="s">
        <v>12</v>
      </c>
      <c r="K57" s="1">
        <v>46076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25E4-1794-42C9-9526-8A6F715B88C4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27" t="s">
        <v>101</v>
      </c>
    </row>
    <row r="2" spans="1:3" x14ac:dyDescent="0.3">
      <c r="A2" s="28" t="s">
        <v>102</v>
      </c>
      <c r="B2" s="28" t="s">
        <v>103</v>
      </c>
      <c r="C2" s="28" t="s">
        <v>104</v>
      </c>
    </row>
    <row r="3" spans="1:3" x14ac:dyDescent="0.3">
      <c r="A3">
        <v>1</v>
      </c>
      <c r="B3" t="s">
        <v>105</v>
      </c>
      <c r="C3" t="s">
        <v>106</v>
      </c>
    </row>
    <row r="5" spans="1:3" x14ac:dyDescent="0.3">
      <c r="A5" s="27" t="s">
        <v>107</v>
      </c>
    </row>
    <row r="6" spans="1:3" x14ac:dyDescent="0.3">
      <c r="A6" s="28" t="s">
        <v>102</v>
      </c>
      <c r="B6" s="28" t="s">
        <v>108</v>
      </c>
      <c r="C6" s="28" t="s">
        <v>104</v>
      </c>
    </row>
    <row r="9" spans="1:3" x14ac:dyDescent="0.3">
      <c r="A9" s="27" t="s">
        <v>109</v>
      </c>
      <c r="B9" t="s">
        <v>110</v>
      </c>
    </row>
    <row r="10" spans="1:3" x14ac:dyDescent="0.3">
      <c r="B10" t="s">
        <v>111</v>
      </c>
    </row>
    <row r="12" spans="1:3" x14ac:dyDescent="0.3">
      <c r="B12" t="s">
        <v>112</v>
      </c>
    </row>
    <row r="13" spans="1:3" x14ac:dyDescent="0.3">
      <c r="B13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ACAA-D0C9-4E0D-B6D1-3EF28EC79FD0}">
  <dimension ref="A1:C13"/>
  <sheetViews>
    <sheetView workbookViewId="0"/>
  </sheetViews>
  <sheetFormatPr defaultRowHeight="14.4" x14ac:dyDescent="0.3"/>
  <cols>
    <col min="1" max="1" width="15.33203125" bestFit="1" customWidth="1"/>
    <col min="2" max="2" width="5.88671875" bestFit="1" customWidth="1"/>
    <col min="3" max="3" width="7.88671875" bestFit="1" customWidth="1"/>
  </cols>
  <sheetData>
    <row r="1" spans="1:3" x14ac:dyDescent="0.3">
      <c r="A1" s="27"/>
    </row>
    <row r="2" spans="1:3" x14ac:dyDescent="0.3">
      <c r="A2" s="28" t="s">
        <v>102</v>
      </c>
      <c r="B2" s="28" t="s">
        <v>103</v>
      </c>
      <c r="C2" s="28" t="s">
        <v>104</v>
      </c>
    </row>
    <row r="3" spans="1:3" x14ac:dyDescent="0.3">
      <c r="A3">
        <v>1</v>
      </c>
      <c r="B3" t="s">
        <v>105</v>
      </c>
      <c r="C3" t="s">
        <v>106</v>
      </c>
    </row>
    <row r="5" spans="1:3" x14ac:dyDescent="0.3">
      <c r="A5" s="27" t="s">
        <v>107</v>
      </c>
    </row>
    <row r="6" spans="1:3" x14ac:dyDescent="0.3">
      <c r="A6" s="28" t="s">
        <v>102</v>
      </c>
      <c r="B6" s="28" t="s">
        <v>108</v>
      </c>
      <c r="C6" s="28" t="s">
        <v>104</v>
      </c>
    </row>
    <row r="9" spans="1:3" x14ac:dyDescent="0.3">
      <c r="A9" s="27" t="s">
        <v>109</v>
      </c>
      <c r="B9" t="s">
        <v>110</v>
      </c>
    </row>
    <row r="10" spans="1:3" x14ac:dyDescent="0.3">
      <c r="B10" t="s">
        <v>111</v>
      </c>
    </row>
    <row r="12" spans="1:3" x14ac:dyDescent="0.3">
      <c r="B12" t="s">
        <v>112</v>
      </c>
    </row>
    <row r="13" spans="1:3" x14ac:dyDescent="0.3">
      <c r="B13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H10"/>
  <sheetViews>
    <sheetView zoomScale="110" zoomScaleNormal="110" workbookViewId="0">
      <selection activeCell="K10" sqref="K10"/>
    </sheetView>
  </sheetViews>
  <sheetFormatPr defaultRowHeight="14.4" x14ac:dyDescent="0.3"/>
  <cols>
    <col min="1" max="1" width="13.77734375" bestFit="1" customWidth="1"/>
    <col min="2" max="2" width="14.5546875" bestFit="1" customWidth="1"/>
    <col min="3" max="3" width="5" bestFit="1" customWidth="1"/>
    <col min="4" max="4" width="11.6640625" bestFit="1" customWidth="1"/>
    <col min="5" max="5" width="10.6640625" bestFit="1" customWidth="1"/>
    <col min="6" max="6" width="5" bestFit="1" customWidth="1"/>
    <col min="7" max="7" width="13.44140625" bestFit="1" customWidth="1"/>
    <col min="8" max="8" width="10.6640625" bestFit="1" customWidth="1"/>
    <col min="9" max="9" width="12.33203125" bestFit="1" customWidth="1"/>
    <col min="10" max="10" width="11.77734375" bestFit="1" customWidth="1"/>
    <col min="11" max="11" width="12.33203125" bestFit="1" customWidth="1"/>
    <col min="12" max="12" width="20.33203125" bestFit="1" customWidth="1"/>
    <col min="13" max="13" width="20.88671875" bestFit="1" customWidth="1"/>
    <col min="14" max="14" width="16.21875" bestFit="1" customWidth="1"/>
    <col min="15" max="15" width="16.88671875" bestFit="1" customWidth="1"/>
  </cols>
  <sheetData>
    <row r="3" spans="1:8" x14ac:dyDescent="0.3">
      <c r="A3" s="19" t="s">
        <v>82</v>
      </c>
      <c r="B3" s="19" t="s">
        <v>72</v>
      </c>
    </row>
    <row r="4" spans="1:8" x14ac:dyDescent="0.3">
      <c r="B4" t="s">
        <v>10</v>
      </c>
      <c r="D4" t="s">
        <v>83</v>
      </c>
      <c r="E4" t="s">
        <v>16</v>
      </c>
      <c r="G4" t="s">
        <v>84</v>
      </c>
      <c r="H4" t="s">
        <v>71</v>
      </c>
    </row>
    <row r="5" spans="1:8" x14ac:dyDescent="0.3">
      <c r="A5" s="19" t="s">
        <v>73</v>
      </c>
      <c r="B5" t="s">
        <v>17</v>
      </c>
      <c r="C5" t="s">
        <v>12</v>
      </c>
      <c r="E5" t="s">
        <v>17</v>
      </c>
      <c r="F5" t="s">
        <v>12</v>
      </c>
    </row>
    <row r="6" spans="1:8" x14ac:dyDescent="0.3">
      <c r="A6" s="20" t="s">
        <v>9</v>
      </c>
      <c r="B6" s="22">
        <v>-450</v>
      </c>
      <c r="C6" s="22">
        <v>2425</v>
      </c>
      <c r="D6" s="22">
        <v>1975</v>
      </c>
      <c r="E6" s="22">
        <v>-350</v>
      </c>
      <c r="F6" s="22">
        <v>1275</v>
      </c>
      <c r="G6" s="22">
        <v>925</v>
      </c>
      <c r="H6" s="22">
        <v>2900</v>
      </c>
    </row>
    <row r="7" spans="1:8" x14ac:dyDescent="0.3">
      <c r="A7" s="20" t="s">
        <v>15</v>
      </c>
      <c r="B7" s="22">
        <v>-475</v>
      </c>
      <c r="C7" s="22">
        <v>3550</v>
      </c>
      <c r="D7" s="22">
        <v>3075</v>
      </c>
      <c r="E7" s="22">
        <v>-675</v>
      </c>
      <c r="F7" s="22">
        <v>4425</v>
      </c>
      <c r="G7" s="22">
        <v>3750</v>
      </c>
      <c r="H7" s="22">
        <v>6825</v>
      </c>
    </row>
    <row r="8" spans="1:8" x14ac:dyDescent="0.3">
      <c r="A8" s="20" t="s">
        <v>13</v>
      </c>
      <c r="B8" s="22">
        <v>-775</v>
      </c>
      <c r="C8" s="22">
        <v>2050</v>
      </c>
      <c r="D8" s="22">
        <v>1275</v>
      </c>
      <c r="E8" s="22">
        <v>-1250</v>
      </c>
      <c r="F8" s="22">
        <v>1900</v>
      </c>
      <c r="G8" s="22">
        <v>650</v>
      </c>
      <c r="H8" s="22">
        <v>1925</v>
      </c>
    </row>
    <row r="9" spans="1:8" x14ac:dyDescent="0.3">
      <c r="A9" s="20" t="s">
        <v>18</v>
      </c>
      <c r="B9" s="22">
        <v>-1175</v>
      </c>
      <c r="C9" s="22">
        <v>1300</v>
      </c>
      <c r="D9" s="22">
        <v>125</v>
      </c>
      <c r="E9" s="22">
        <v>-250</v>
      </c>
      <c r="F9" s="22">
        <v>700</v>
      </c>
      <c r="G9" s="22">
        <v>450</v>
      </c>
      <c r="H9" s="22">
        <v>575</v>
      </c>
    </row>
    <row r="10" spans="1:8" x14ac:dyDescent="0.3">
      <c r="A10" s="20" t="s">
        <v>71</v>
      </c>
      <c r="B10" s="21">
        <v>-2875</v>
      </c>
      <c r="C10" s="21">
        <v>9325</v>
      </c>
      <c r="D10" s="21">
        <v>6450</v>
      </c>
      <c r="E10" s="21">
        <v>-2525</v>
      </c>
      <c r="F10" s="21">
        <v>8300</v>
      </c>
      <c r="G10" s="21">
        <v>5775</v>
      </c>
      <c r="H10" s="21">
        <v>12225</v>
      </c>
    </row>
  </sheetData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8"/>
  <sheetViews>
    <sheetView topLeftCell="B10" workbookViewId="0">
      <selection activeCell="C41" sqref="C41"/>
    </sheetView>
  </sheetViews>
  <sheetFormatPr defaultRowHeight="14.4" x14ac:dyDescent="0.3"/>
  <cols>
    <col min="2" max="2" width="28.88671875" customWidth="1"/>
    <col min="3" max="3" width="16.77734375" bestFit="1" customWidth="1"/>
    <col min="4" max="4" width="18.21875" bestFit="1" customWidth="1"/>
    <col min="5" max="5" width="14.109375" bestFit="1" customWidth="1"/>
    <col min="6" max="6" width="15.664062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  <row r="34" spans="2:8" x14ac:dyDescent="0.3">
      <c r="B34" s="3" t="s">
        <v>27</v>
      </c>
      <c r="C34" s="3" t="s">
        <v>76</v>
      </c>
      <c r="D34" s="3" t="s">
        <v>77</v>
      </c>
      <c r="E34" s="3" t="s">
        <v>78</v>
      </c>
      <c r="F34" s="3" t="s">
        <v>79</v>
      </c>
      <c r="G34" s="3" t="s">
        <v>80</v>
      </c>
      <c r="H34" s="3" t="s">
        <v>81</v>
      </c>
    </row>
    <row r="35" spans="2:8" x14ac:dyDescent="0.3">
      <c r="B35" s="2" t="s">
        <v>9</v>
      </c>
      <c r="C35" s="6">
        <f>9/14</f>
        <v>0.6428571428571429</v>
      </c>
      <c r="D35" s="6">
        <f>3/8</f>
        <v>0.375</v>
      </c>
      <c r="E35" s="23">
        <v>141.07142857142858</v>
      </c>
      <c r="F35" s="23">
        <v>115.625</v>
      </c>
      <c r="G35" s="6"/>
      <c r="H35" s="6"/>
    </row>
    <row r="36" spans="2:8" x14ac:dyDescent="0.3">
      <c r="B36" s="2" t="s">
        <v>15</v>
      </c>
      <c r="C36" s="6">
        <f>9/14</f>
        <v>0.6428571428571429</v>
      </c>
      <c r="D36" s="6">
        <f>14/19</f>
        <v>0.73684210526315785</v>
      </c>
      <c r="E36" s="23">
        <v>219.64285714285714</v>
      </c>
      <c r="F36" s="23">
        <v>197.36842105263159</v>
      </c>
      <c r="G36" s="6"/>
      <c r="H36" s="6"/>
    </row>
    <row r="37" spans="2:8" x14ac:dyDescent="0.3">
      <c r="B37" s="2" t="s">
        <v>13</v>
      </c>
      <c r="C37" s="6">
        <f>10/15</f>
        <v>0.66666666666666663</v>
      </c>
      <c r="D37" s="6">
        <f>6/12</f>
        <v>0.5</v>
      </c>
      <c r="E37" s="23">
        <v>85</v>
      </c>
      <c r="F37" s="23">
        <v>54.166666666666664</v>
      </c>
      <c r="G37" s="6"/>
      <c r="H37" s="6"/>
    </row>
    <row r="38" spans="2:8" x14ac:dyDescent="0.3">
      <c r="B38" s="2" t="s">
        <v>18</v>
      </c>
      <c r="C38" s="6">
        <f>5/13</f>
        <v>0.38461538461538464</v>
      </c>
      <c r="D38" s="6">
        <f>3/5</f>
        <v>0.6</v>
      </c>
      <c r="E38" s="23">
        <v>9.615384615384615</v>
      </c>
      <c r="F38" s="23">
        <v>90</v>
      </c>
      <c r="G38" s="6"/>
      <c r="H38" s="6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B0F43-AEC7-4699-A779-3BFE33A19918}">
  <dimension ref="J2:J14"/>
  <sheetViews>
    <sheetView workbookViewId="0">
      <selection sqref="A1:K14"/>
    </sheetView>
  </sheetViews>
  <sheetFormatPr defaultRowHeight="14.4" x14ac:dyDescent="0.3"/>
  <cols>
    <col min="1" max="1" width="11.44140625" customWidth="1"/>
    <col min="3" max="3" width="9.33203125" customWidth="1"/>
    <col min="4" max="4" width="10.5546875" customWidth="1"/>
    <col min="7" max="7" width="12.109375" customWidth="1"/>
    <col min="8" max="8" width="12" customWidth="1"/>
    <col min="10" max="10" width="11.44140625" customWidth="1"/>
    <col min="11" max="11" width="13.33203125" customWidth="1"/>
  </cols>
  <sheetData>
    <row r="2" spans="10:10" x14ac:dyDescent="0.3">
      <c r="J2" s="1"/>
    </row>
    <row r="3" spans="10:10" x14ac:dyDescent="0.3">
      <c r="J3" s="1"/>
    </row>
    <row r="4" spans="10:10" x14ac:dyDescent="0.3">
      <c r="J4" s="1"/>
    </row>
    <row r="5" spans="10:10" x14ac:dyDescent="0.3">
      <c r="J5" s="1"/>
    </row>
    <row r="6" spans="10:10" x14ac:dyDescent="0.3">
      <c r="J6" s="1"/>
    </row>
    <row r="7" spans="10:10" x14ac:dyDescent="0.3">
      <c r="J7" s="1"/>
    </row>
    <row r="8" spans="10:10" x14ac:dyDescent="0.3">
      <c r="J8" s="1"/>
    </row>
    <row r="9" spans="10:10" x14ac:dyDescent="0.3">
      <c r="J9" s="1"/>
    </row>
    <row r="10" spans="10:10" x14ac:dyDescent="0.3">
      <c r="J10" s="1"/>
    </row>
    <row r="11" spans="10:10" x14ac:dyDescent="0.3">
      <c r="J11" s="1"/>
    </row>
    <row r="12" spans="10:10" x14ac:dyDescent="0.3">
      <c r="J12" s="1"/>
    </row>
    <row r="13" spans="10:10" x14ac:dyDescent="0.3">
      <c r="J13" s="1"/>
    </row>
    <row r="14" spans="10:10" x14ac:dyDescent="0.3">
      <c r="J1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54098-9253-456A-BCDC-F39CF1521015}">
  <dimension ref="A3:B11"/>
  <sheetViews>
    <sheetView tabSelected="1" workbookViewId="0">
      <selection activeCell="B18" sqref="B18"/>
    </sheetView>
  </sheetViews>
  <sheetFormatPr defaultRowHeight="14.4" x14ac:dyDescent="0.3"/>
  <cols>
    <col min="1" max="1" width="13.5546875" bestFit="1" customWidth="1"/>
    <col min="2" max="3" width="6" bestFit="1" customWidth="1"/>
    <col min="4" max="4" width="5.77734375" bestFit="1" customWidth="1"/>
  </cols>
  <sheetData>
    <row r="3" spans="1:2" x14ac:dyDescent="0.3">
      <c r="A3" s="10" t="s">
        <v>123</v>
      </c>
      <c r="B3" t="s">
        <v>122</v>
      </c>
    </row>
    <row r="4" spans="1:2" x14ac:dyDescent="0.3">
      <c r="A4" s="20" t="s">
        <v>117</v>
      </c>
      <c r="B4" s="21">
        <v>1500</v>
      </c>
    </row>
    <row r="5" spans="1:2" x14ac:dyDescent="0.3">
      <c r="A5" s="20" t="s">
        <v>118</v>
      </c>
      <c r="B5" s="21">
        <v>800</v>
      </c>
    </row>
    <row r="6" spans="1:2" x14ac:dyDescent="0.3">
      <c r="A6" s="20" t="s">
        <v>119</v>
      </c>
      <c r="B6" s="21">
        <v>1625</v>
      </c>
    </row>
    <row r="7" spans="1:2" x14ac:dyDescent="0.3">
      <c r="A7" s="20" t="s">
        <v>121</v>
      </c>
      <c r="B7" s="21">
        <v>1075</v>
      </c>
    </row>
    <row r="8" spans="1:2" x14ac:dyDescent="0.3">
      <c r="A8" s="20" t="s">
        <v>115</v>
      </c>
      <c r="B8" s="21">
        <v>3300</v>
      </c>
    </row>
    <row r="9" spans="1:2" x14ac:dyDescent="0.3">
      <c r="A9" s="20" t="s">
        <v>116</v>
      </c>
      <c r="B9" s="21">
        <v>2700</v>
      </c>
    </row>
    <row r="10" spans="1:2" x14ac:dyDescent="0.3">
      <c r="A10" s="20" t="s">
        <v>120</v>
      </c>
      <c r="B10" s="21">
        <v>1225</v>
      </c>
    </row>
    <row r="11" spans="1:2" x14ac:dyDescent="0.3">
      <c r="A11" s="20" t="s">
        <v>71</v>
      </c>
      <c r="B11" s="21">
        <v>12225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2120B-DF74-488B-B72F-7F0A76108FD3}">
  <dimension ref="A1:K101"/>
  <sheetViews>
    <sheetView topLeftCell="A2" workbookViewId="0">
      <selection activeCell="M8" sqref="M8"/>
    </sheetView>
  </sheetViews>
  <sheetFormatPr defaultRowHeight="14.4" x14ac:dyDescent="0.3"/>
  <cols>
    <col min="1" max="1" width="11.77734375" bestFit="1" customWidth="1"/>
    <col min="2" max="2" width="8" bestFit="1" customWidth="1"/>
    <col min="3" max="3" width="9.6640625" bestFit="1" customWidth="1"/>
    <col min="4" max="4" width="10.88671875" bestFit="1" customWidth="1"/>
    <col min="5" max="5" width="7.77734375" bestFit="1" customWidth="1"/>
    <col min="6" max="6" width="4.6640625" bestFit="1" customWidth="1"/>
    <col min="7" max="7" width="12.44140625" bestFit="1" customWidth="1"/>
    <col min="8" max="8" width="12.33203125" bestFit="1" customWidth="1"/>
    <col min="9" max="9" width="8.44140625" bestFit="1" customWidth="1"/>
    <col min="10" max="10" width="11.77734375" bestFit="1" customWidth="1"/>
    <col min="11" max="11" width="13.6640625" bestFit="1" customWidth="1"/>
  </cols>
  <sheetData>
    <row r="1" spans="1:11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36</v>
      </c>
      <c r="H1" t="s">
        <v>37</v>
      </c>
      <c r="I1" t="s">
        <v>7</v>
      </c>
      <c r="J1" t="s">
        <v>8</v>
      </c>
      <c r="K1" t="s">
        <v>114</v>
      </c>
    </row>
    <row r="2" spans="1:11" x14ac:dyDescent="0.3">
      <c r="A2">
        <v>10005</v>
      </c>
      <c r="B2" s="21" t="s">
        <v>9</v>
      </c>
      <c r="C2" s="21" t="s">
        <v>16</v>
      </c>
      <c r="D2" s="21" t="s">
        <v>14</v>
      </c>
      <c r="E2">
        <v>600</v>
      </c>
      <c r="F2">
        <v>3</v>
      </c>
      <c r="G2" s="21" t="s">
        <v>74</v>
      </c>
      <c r="H2">
        <v>200</v>
      </c>
      <c r="I2" s="21" t="s">
        <v>12</v>
      </c>
      <c r="J2" s="1">
        <v>46164</v>
      </c>
      <c r="K2" s="21" t="s">
        <v>115</v>
      </c>
    </row>
    <row r="3" spans="1:11" x14ac:dyDescent="0.3">
      <c r="A3">
        <v>10006</v>
      </c>
      <c r="B3" s="21" t="s">
        <v>9</v>
      </c>
      <c r="C3" s="21" t="s">
        <v>16</v>
      </c>
      <c r="D3" s="21" t="s">
        <v>11</v>
      </c>
      <c r="E3">
        <v>600</v>
      </c>
      <c r="F3">
        <v>3</v>
      </c>
      <c r="G3" s="21" t="s">
        <v>74</v>
      </c>
      <c r="H3">
        <v>200</v>
      </c>
      <c r="I3" s="21" t="s">
        <v>12</v>
      </c>
      <c r="J3" s="1">
        <v>46171</v>
      </c>
      <c r="K3" s="21" t="s">
        <v>115</v>
      </c>
    </row>
    <row r="4" spans="1:11" x14ac:dyDescent="0.3">
      <c r="A4">
        <v>10006</v>
      </c>
      <c r="B4" s="21" t="s">
        <v>9</v>
      </c>
      <c r="C4" s="21" t="s">
        <v>10</v>
      </c>
      <c r="D4" s="21" t="s">
        <v>11</v>
      </c>
      <c r="E4">
        <v>500</v>
      </c>
      <c r="F4">
        <v>2</v>
      </c>
      <c r="G4" s="21" t="s">
        <v>74</v>
      </c>
      <c r="H4">
        <v>250</v>
      </c>
      <c r="I4" s="21" t="s">
        <v>12</v>
      </c>
      <c r="J4" s="1">
        <v>46168</v>
      </c>
      <c r="K4" s="21" t="s">
        <v>115</v>
      </c>
    </row>
    <row r="5" spans="1:11" x14ac:dyDescent="0.3">
      <c r="A5">
        <v>10001</v>
      </c>
      <c r="B5" s="21" t="s">
        <v>9</v>
      </c>
      <c r="C5" s="21" t="s">
        <v>10</v>
      </c>
      <c r="D5" s="21" t="s">
        <v>11</v>
      </c>
      <c r="E5">
        <v>500</v>
      </c>
      <c r="F5">
        <v>2</v>
      </c>
      <c r="G5" s="21" t="s">
        <v>74</v>
      </c>
      <c r="H5">
        <v>250</v>
      </c>
      <c r="I5" s="21" t="s">
        <v>12</v>
      </c>
      <c r="J5" s="1">
        <v>46182</v>
      </c>
      <c r="K5" s="21" t="s">
        <v>116</v>
      </c>
    </row>
    <row r="6" spans="1:11" x14ac:dyDescent="0.3">
      <c r="A6">
        <v>10005</v>
      </c>
      <c r="B6" s="21" t="s">
        <v>9</v>
      </c>
      <c r="C6" s="21" t="s">
        <v>10</v>
      </c>
      <c r="D6" s="21" t="s">
        <v>14</v>
      </c>
      <c r="E6">
        <v>375</v>
      </c>
      <c r="F6">
        <v>1.5</v>
      </c>
      <c r="G6" s="21" t="s">
        <v>75</v>
      </c>
      <c r="H6">
        <v>250</v>
      </c>
      <c r="I6" s="21" t="s">
        <v>12</v>
      </c>
      <c r="J6" s="1">
        <v>46041</v>
      </c>
      <c r="K6" s="21" t="s">
        <v>117</v>
      </c>
    </row>
    <row r="7" spans="1:11" x14ac:dyDescent="0.3">
      <c r="A7">
        <v>10003</v>
      </c>
      <c r="B7" s="21" t="s">
        <v>9</v>
      </c>
      <c r="C7" s="21" t="s">
        <v>10</v>
      </c>
      <c r="D7" s="21" t="s">
        <v>14</v>
      </c>
      <c r="E7">
        <v>375</v>
      </c>
      <c r="F7">
        <v>1.5</v>
      </c>
      <c r="G7" s="21" t="s">
        <v>75</v>
      </c>
      <c r="H7">
        <v>250</v>
      </c>
      <c r="I7" s="21" t="s">
        <v>12</v>
      </c>
      <c r="J7" s="1">
        <v>46055</v>
      </c>
      <c r="K7" s="21" t="s">
        <v>118</v>
      </c>
    </row>
    <row r="8" spans="1:11" x14ac:dyDescent="0.3">
      <c r="A8">
        <v>10003</v>
      </c>
      <c r="B8" s="21" t="s">
        <v>9</v>
      </c>
      <c r="C8" s="21" t="s">
        <v>10</v>
      </c>
      <c r="D8" s="21" t="s">
        <v>11</v>
      </c>
      <c r="E8">
        <v>200</v>
      </c>
      <c r="F8">
        <v>2</v>
      </c>
      <c r="G8" s="21" t="s">
        <v>74</v>
      </c>
      <c r="H8">
        <v>100</v>
      </c>
      <c r="I8" s="21" t="s">
        <v>12</v>
      </c>
      <c r="J8" s="1">
        <v>46091</v>
      </c>
      <c r="K8" s="21" t="s">
        <v>119</v>
      </c>
    </row>
    <row r="9" spans="1:11" x14ac:dyDescent="0.3">
      <c r="A9">
        <v>10006</v>
      </c>
      <c r="B9" s="21" t="s">
        <v>9</v>
      </c>
      <c r="C9" s="21" t="s">
        <v>10</v>
      </c>
      <c r="D9" s="21" t="s">
        <v>11</v>
      </c>
      <c r="E9">
        <v>200</v>
      </c>
      <c r="F9">
        <v>2</v>
      </c>
      <c r="G9" s="21" t="s">
        <v>74</v>
      </c>
      <c r="H9">
        <v>100</v>
      </c>
      <c r="I9" s="21" t="s">
        <v>12</v>
      </c>
      <c r="J9" s="1">
        <v>46198</v>
      </c>
      <c r="K9" s="21" t="s">
        <v>116</v>
      </c>
    </row>
    <row r="10" spans="1:11" x14ac:dyDescent="0.3">
      <c r="A10">
        <v>10006</v>
      </c>
      <c r="B10" s="21" t="s">
        <v>9</v>
      </c>
      <c r="C10" s="21" t="s">
        <v>10</v>
      </c>
      <c r="D10" s="21" t="s">
        <v>11</v>
      </c>
      <c r="E10">
        <v>125</v>
      </c>
      <c r="F10">
        <v>2.5</v>
      </c>
      <c r="G10" s="21" t="s">
        <v>74</v>
      </c>
      <c r="H10">
        <v>50</v>
      </c>
      <c r="I10" s="21" t="s">
        <v>12</v>
      </c>
      <c r="J10" s="1">
        <v>46101</v>
      </c>
      <c r="K10" s="21" t="s">
        <v>119</v>
      </c>
    </row>
    <row r="11" spans="1:11" x14ac:dyDescent="0.3">
      <c r="A11">
        <v>10006</v>
      </c>
      <c r="B11" s="21" t="s">
        <v>9</v>
      </c>
      <c r="C11" s="21" t="s">
        <v>10</v>
      </c>
      <c r="D11" s="21" t="s">
        <v>14</v>
      </c>
      <c r="E11">
        <v>100</v>
      </c>
      <c r="F11">
        <v>1</v>
      </c>
      <c r="G11" s="21" t="s">
        <v>75</v>
      </c>
      <c r="H11">
        <v>100</v>
      </c>
      <c r="I11" s="21" t="s">
        <v>12</v>
      </c>
      <c r="J11" s="1">
        <v>46172</v>
      </c>
      <c r="K11" s="21" t="s">
        <v>115</v>
      </c>
    </row>
    <row r="12" spans="1:11" x14ac:dyDescent="0.3">
      <c r="A12">
        <v>10004</v>
      </c>
      <c r="B12" s="21" t="s">
        <v>9</v>
      </c>
      <c r="C12" s="21" t="s">
        <v>16</v>
      </c>
      <c r="D12" s="21" t="s">
        <v>11</v>
      </c>
      <c r="E12">
        <v>75</v>
      </c>
      <c r="F12">
        <v>1.5</v>
      </c>
      <c r="G12" s="21" t="s">
        <v>75</v>
      </c>
      <c r="H12">
        <v>50</v>
      </c>
      <c r="I12" s="21" t="s">
        <v>12</v>
      </c>
      <c r="J12" s="1">
        <v>46053</v>
      </c>
      <c r="K12" s="21" t="s">
        <v>117</v>
      </c>
    </row>
    <row r="13" spans="1:11" x14ac:dyDescent="0.3">
      <c r="A13">
        <v>10002</v>
      </c>
      <c r="B13" s="21" t="s">
        <v>9</v>
      </c>
      <c r="C13" s="21" t="s">
        <v>10</v>
      </c>
      <c r="D13" s="21" t="s">
        <v>11</v>
      </c>
      <c r="E13">
        <v>50</v>
      </c>
      <c r="F13">
        <v>1</v>
      </c>
      <c r="G13" s="21" t="s">
        <v>75</v>
      </c>
      <c r="H13">
        <v>50</v>
      </c>
      <c r="I13" s="21" t="s">
        <v>12</v>
      </c>
      <c r="J13" s="1">
        <v>46190</v>
      </c>
      <c r="K13" s="21" t="s">
        <v>116</v>
      </c>
    </row>
    <row r="14" spans="1:11" x14ac:dyDescent="0.3">
      <c r="A14">
        <v>10005</v>
      </c>
      <c r="B14" s="21" t="s">
        <v>9</v>
      </c>
      <c r="C14" s="21" t="s">
        <v>10</v>
      </c>
      <c r="D14" s="21" t="s">
        <v>11</v>
      </c>
      <c r="E14">
        <v>-25</v>
      </c>
      <c r="F14">
        <v>-0.5</v>
      </c>
      <c r="G14" s="21" t="s">
        <v>75</v>
      </c>
      <c r="H14">
        <v>50</v>
      </c>
      <c r="I14" s="21" t="s">
        <v>17</v>
      </c>
      <c r="J14" s="1">
        <v>46107</v>
      </c>
      <c r="K14" s="21" t="s">
        <v>119</v>
      </c>
    </row>
    <row r="15" spans="1:11" x14ac:dyDescent="0.3">
      <c r="A15">
        <v>10001</v>
      </c>
      <c r="B15" s="21" t="s">
        <v>9</v>
      </c>
      <c r="C15" s="21" t="s">
        <v>10</v>
      </c>
      <c r="D15" s="21" t="s">
        <v>14</v>
      </c>
      <c r="E15">
        <v>-50</v>
      </c>
      <c r="F15">
        <v>-0.5</v>
      </c>
      <c r="G15" s="21" t="s">
        <v>75</v>
      </c>
      <c r="H15">
        <v>100</v>
      </c>
      <c r="I15" s="21" t="s">
        <v>17</v>
      </c>
      <c r="J15" s="1">
        <v>46167</v>
      </c>
      <c r="K15" s="21" t="s">
        <v>115</v>
      </c>
    </row>
    <row r="16" spans="1:11" x14ac:dyDescent="0.3">
      <c r="A16">
        <v>10001</v>
      </c>
      <c r="B16" s="21" t="s">
        <v>9</v>
      </c>
      <c r="C16" s="21" t="s">
        <v>16</v>
      </c>
      <c r="D16" s="21" t="s">
        <v>11</v>
      </c>
      <c r="E16">
        <v>-50</v>
      </c>
      <c r="F16">
        <v>-0.5</v>
      </c>
      <c r="G16" s="21" t="s">
        <v>75</v>
      </c>
      <c r="H16">
        <v>100</v>
      </c>
      <c r="I16" s="21" t="s">
        <v>17</v>
      </c>
      <c r="J16" s="1">
        <v>46059</v>
      </c>
      <c r="K16" s="21" t="s">
        <v>118</v>
      </c>
    </row>
    <row r="17" spans="1:11" x14ac:dyDescent="0.3">
      <c r="A17">
        <v>10005</v>
      </c>
      <c r="B17" s="21" t="s">
        <v>9</v>
      </c>
      <c r="C17" s="21" t="s">
        <v>16</v>
      </c>
      <c r="D17" s="21" t="s">
        <v>11</v>
      </c>
      <c r="E17">
        <v>-50</v>
      </c>
      <c r="F17">
        <v>-0.5</v>
      </c>
      <c r="G17" s="21" t="s">
        <v>75</v>
      </c>
      <c r="H17">
        <v>100</v>
      </c>
      <c r="I17" s="21" t="s">
        <v>17</v>
      </c>
      <c r="J17" s="1">
        <v>46197</v>
      </c>
      <c r="K17" s="21" t="s">
        <v>116</v>
      </c>
    </row>
    <row r="18" spans="1:11" x14ac:dyDescent="0.3">
      <c r="A18">
        <v>10005</v>
      </c>
      <c r="B18" s="21" t="s">
        <v>9</v>
      </c>
      <c r="C18" s="21" t="s">
        <v>16</v>
      </c>
      <c r="D18" s="21" t="s">
        <v>14</v>
      </c>
      <c r="E18">
        <v>-50</v>
      </c>
      <c r="F18">
        <v>-1</v>
      </c>
      <c r="G18" s="21" t="s">
        <v>75</v>
      </c>
      <c r="H18">
        <v>50</v>
      </c>
      <c r="I18" s="21" t="s">
        <v>17</v>
      </c>
      <c r="J18" s="1">
        <v>46034</v>
      </c>
      <c r="K18" s="21" t="s">
        <v>117</v>
      </c>
    </row>
    <row r="19" spans="1:11" x14ac:dyDescent="0.3">
      <c r="A19">
        <v>10004</v>
      </c>
      <c r="B19" s="21" t="s">
        <v>9</v>
      </c>
      <c r="C19" s="21" t="s">
        <v>16</v>
      </c>
      <c r="D19" s="21" t="s">
        <v>11</v>
      </c>
      <c r="E19">
        <v>-100</v>
      </c>
      <c r="F19">
        <v>-1</v>
      </c>
      <c r="G19" s="21" t="s">
        <v>75</v>
      </c>
      <c r="H19">
        <v>100</v>
      </c>
      <c r="I19" s="21" t="s">
        <v>17</v>
      </c>
      <c r="J19" s="1">
        <v>46086</v>
      </c>
      <c r="K19" s="21" t="s">
        <v>119</v>
      </c>
    </row>
    <row r="20" spans="1:11" x14ac:dyDescent="0.3">
      <c r="A20">
        <v>10004</v>
      </c>
      <c r="B20" s="21" t="s">
        <v>9</v>
      </c>
      <c r="C20" s="21" t="s">
        <v>16</v>
      </c>
      <c r="D20" s="21" t="s">
        <v>11</v>
      </c>
      <c r="E20">
        <v>-100</v>
      </c>
      <c r="F20">
        <v>-1</v>
      </c>
      <c r="G20" s="21" t="s">
        <v>75</v>
      </c>
      <c r="H20">
        <v>100</v>
      </c>
      <c r="I20" s="21" t="s">
        <v>17</v>
      </c>
      <c r="J20" s="1">
        <v>46149</v>
      </c>
      <c r="K20" s="21" t="s">
        <v>115</v>
      </c>
    </row>
    <row r="21" spans="1:11" x14ac:dyDescent="0.3">
      <c r="A21">
        <v>10002</v>
      </c>
      <c r="B21" s="21" t="s">
        <v>9</v>
      </c>
      <c r="C21" s="21" t="s">
        <v>10</v>
      </c>
      <c r="D21" s="21" t="s">
        <v>14</v>
      </c>
      <c r="E21">
        <v>-100</v>
      </c>
      <c r="F21">
        <v>-1</v>
      </c>
      <c r="G21" s="21" t="s">
        <v>75</v>
      </c>
      <c r="H21">
        <v>100</v>
      </c>
      <c r="I21" s="21" t="s">
        <v>17</v>
      </c>
      <c r="J21" s="1">
        <v>46169</v>
      </c>
      <c r="K21" s="21" t="s">
        <v>115</v>
      </c>
    </row>
    <row r="22" spans="1:11" x14ac:dyDescent="0.3">
      <c r="A22">
        <v>10005</v>
      </c>
      <c r="B22" s="21" t="s">
        <v>9</v>
      </c>
      <c r="C22" s="21" t="s">
        <v>10</v>
      </c>
      <c r="D22" s="21" t="s">
        <v>11</v>
      </c>
      <c r="E22">
        <v>-125</v>
      </c>
      <c r="F22">
        <v>-0.5</v>
      </c>
      <c r="G22" s="21" t="s">
        <v>75</v>
      </c>
      <c r="H22">
        <v>250</v>
      </c>
      <c r="I22" s="21" t="s">
        <v>17</v>
      </c>
      <c r="J22" s="1">
        <v>46033</v>
      </c>
      <c r="K22" s="21" t="s">
        <v>117</v>
      </c>
    </row>
    <row r="23" spans="1:11" x14ac:dyDescent="0.3">
      <c r="A23">
        <v>10005</v>
      </c>
      <c r="B23" s="21" t="s">
        <v>9</v>
      </c>
      <c r="C23" s="21" t="s">
        <v>10</v>
      </c>
      <c r="D23" s="21" t="s">
        <v>11</v>
      </c>
      <c r="E23">
        <v>-150</v>
      </c>
      <c r="F23">
        <v>-1.5</v>
      </c>
      <c r="G23" s="21" t="s">
        <v>75</v>
      </c>
      <c r="H23">
        <v>100</v>
      </c>
      <c r="I23" s="21" t="s">
        <v>17</v>
      </c>
      <c r="J23" s="1">
        <v>46107</v>
      </c>
      <c r="K23" s="21" t="s">
        <v>119</v>
      </c>
    </row>
    <row r="24" spans="1:11" x14ac:dyDescent="0.3">
      <c r="A24">
        <v>10006</v>
      </c>
      <c r="B24" s="21" t="s">
        <v>15</v>
      </c>
      <c r="C24" s="21" t="s">
        <v>10</v>
      </c>
      <c r="D24" s="21" t="s">
        <v>11</v>
      </c>
      <c r="E24">
        <v>750</v>
      </c>
      <c r="F24">
        <v>3</v>
      </c>
      <c r="G24" s="21" t="s">
        <v>74</v>
      </c>
      <c r="H24">
        <v>250</v>
      </c>
      <c r="I24" s="21" t="s">
        <v>12</v>
      </c>
      <c r="J24" s="1">
        <v>46094</v>
      </c>
      <c r="K24" s="21" t="s">
        <v>119</v>
      </c>
    </row>
    <row r="25" spans="1:11" x14ac:dyDescent="0.3">
      <c r="A25">
        <v>10001</v>
      </c>
      <c r="B25" s="21" t="s">
        <v>15</v>
      </c>
      <c r="C25" s="21" t="s">
        <v>10</v>
      </c>
      <c r="D25" s="21" t="s">
        <v>14</v>
      </c>
      <c r="E25">
        <v>750</v>
      </c>
      <c r="F25">
        <v>3</v>
      </c>
      <c r="G25" s="21" t="s">
        <v>74</v>
      </c>
      <c r="H25">
        <v>250</v>
      </c>
      <c r="I25" s="21" t="s">
        <v>12</v>
      </c>
      <c r="J25" s="1">
        <v>46088</v>
      </c>
      <c r="K25" s="21" t="s">
        <v>119</v>
      </c>
    </row>
    <row r="26" spans="1:11" x14ac:dyDescent="0.3">
      <c r="A26">
        <v>10004</v>
      </c>
      <c r="B26" s="21" t="s">
        <v>15</v>
      </c>
      <c r="C26" s="21" t="s">
        <v>10</v>
      </c>
      <c r="D26" s="21" t="s">
        <v>11</v>
      </c>
      <c r="E26">
        <v>625</v>
      </c>
      <c r="F26">
        <v>2.5</v>
      </c>
      <c r="G26" s="21" t="s">
        <v>74</v>
      </c>
      <c r="H26">
        <v>250</v>
      </c>
      <c r="I26" s="21" t="s">
        <v>12</v>
      </c>
      <c r="J26" s="1">
        <v>46207</v>
      </c>
      <c r="K26" s="21" t="s">
        <v>120</v>
      </c>
    </row>
    <row r="27" spans="1:11" x14ac:dyDescent="0.3">
      <c r="A27">
        <v>10003</v>
      </c>
      <c r="B27" s="21" t="s">
        <v>15</v>
      </c>
      <c r="C27" s="21" t="s">
        <v>16</v>
      </c>
      <c r="D27" s="21" t="s">
        <v>11</v>
      </c>
      <c r="E27">
        <v>600</v>
      </c>
      <c r="F27">
        <v>3</v>
      </c>
      <c r="G27" s="21" t="s">
        <v>74</v>
      </c>
      <c r="H27">
        <v>200</v>
      </c>
      <c r="I27" s="21" t="s">
        <v>12</v>
      </c>
      <c r="J27" s="1">
        <v>46151</v>
      </c>
      <c r="K27" s="21" t="s">
        <v>115</v>
      </c>
    </row>
    <row r="28" spans="1:11" x14ac:dyDescent="0.3">
      <c r="A28">
        <v>10004</v>
      </c>
      <c r="B28" s="21" t="s">
        <v>15</v>
      </c>
      <c r="C28" s="21" t="s">
        <v>16</v>
      </c>
      <c r="D28" s="21" t="s">
        <v>14</v>
      </c>
      <c r="E28">
        <v>500</v>
      </c>
      <c r="F28">
        <v>2.5</v>
      </c>
      <c r="G28" s="21" t="s">
        <v>74</v>
      </c>
      <c r="H28">
        <v>200</v>
      </c>
      <c r="I28" s="21" t="s">
        <v>12</v>
      </c>
      <c r="J28" s="1">
        <v>46187</v>
      </c>
      <c r="K28" s="21" t="s">
        <v>116</v>
      </c>
    </row>
    <row r="29" spans="1:11" x14ac:dyDescent="0.3">
      <c r="A29">
        <v>10003</v>
      </c>
      <c r="B29" s="21" t="s">
        <v>15</v>
      </c>
      <c r="C29" s="21" t="s">
        <v>16</v>
      </c>
      <c r="D29" s="21" t="s">
        <v>14</v>
      </c>
      <c r="E29">
        <v>500</v>
      </c>
      <c r="F29">
        <v>2</v>
      </c>
      <c r="G29" s="21" t="s">
        <v>74</v>
      </c>
      <c r="H29">
        <v>250</v>
      </c>
      <c r="I29" s="21" t="s">
        <v>12</v>
      </c>
      <c r="J29" s="1">
        <v>46093</v>
      </c>
      <c r="K29" s="21" t="s">
        <v>119</v>
      </c>
    </row>
    <row r="30" spans="1:11" x14ac:dyDescent="0.3">
      <c r="A30">
        <v>10004</v>
      </c>
      <c r="B30" s="21" t="s">
        <v>15</v>
      </c>
      <c r="C30" s="21" t="s">
        <v>16</v>
      </c>
      <c r="D30" s="21" t="s">
        <v>11</v>
      </c>
      <c r="E30">
        <v>500</v>
      </c>
      <c r="F30">
        <v>2</v>
      </c>
      <c r="G30" s="21" t="s">
        <v>74</v>
      </c>
      <c r="H30">
        <v>250</v>
      </c>
      <c r="I30" s="21" t="s">
        <v>12</v>
      </c>
      <c r="J30" s="1">
        <v>46151</v>
      </c>
      <c r="K30" s="21" t="s">
        <v>115</v>
      </c>
    </row>
    <row r="31" spans="1:11" x14ac:dyDescent="0.3">
      <c r="A31">
        <v>10004</v>
      </c>
      <c r="B31" s="21" t="s">
        <v>15</v>
      </c>
      <c r="C31" s="21" t="s">
        <v>16</v>
      </c>
      <c r="D31" s="21" t="s">
        <v>11</v>
      </c>
      <c r="E31">
        <v>500</v>
      </c>
      <c r="F31">
        <v>2</v>
      </c>
      <c r="G31" s="21" t="s">
        <v>74</v>
      </c>
      <c r="H31">
        <v>250</v>
      </c>
      <c r="I31" s="21" t="s">
        <v>12</v>
      </c>
      <c r="J31" s="1">
        <v>46204</v>
      </c>
      <c r="K31" s="21" t="s">
        <v>120</v>
      </c>
    </row>
    <row r="32" spans="1:11" x14ac:dyDescent="0.3">
      <c r="A32">
        <v>10005</v>
      </c>
      <c r="B32" s="21" t="s">
        <v>15</v>
      </c>
      <c r="C32" s="21" t="s">
        <v>10</v>
      </c>
      <c r="D32" s="21" t="s">
        <v>14</v>
      </c>
      <c r="E32">
        <v>375</v>
      </c>
      <c r="F32">
        <v>1.5</v>
      </c>
      <c r="G32" s="21" t="s">
        <v>75</v>
      </c>
      <c r="H32">
        <v>250</v>
      </c>
      <c r="I32" s="21" t="s">
        <v>12</v>
      </c>
      <c r="J32" s="1">
        <v>46034</v>
      </c>
      <c r="K32" s="21" t="s">
        <v>117</v>
      </c>
    </row>
    <row r="33" spans="1:11" x14ac:dyDescent="0.3">
      <c r="A33">
        <v>10001</v>
      </c>
      <c r="B33" s="21" t="s">
        <v>15</v>
      </c>
      <c r="C33" s="21" t="s">
        <v>16</v>
      </c>
      <c r="D33" s="21" t="s">
        <v>14</v>
      </c>
      <c r="E33">
        <v>375</v>
      </c>
      <c r="F33">
        <v>1.5</v>
      </c>
      <c r="G33" s="21" t="s">
        <v>75</v>
      </c>
      <c r="H33">
        <v>250</v>
      </c>
      <c r="I33" s="21" t="s">
        <v>12</v>
      </c>
      <c r="J33" s="1">
        <v>46030</v>
      </c>
      <c r="K33" s="21" t="s">
        <v>117</v>
      </c>
    </row>
    <row r="34" spans="1:11" x14ac:dyDescent="0.3">
      <c r="A34">
        <v>10004</v>
      </c>
      <c r="B34" s="21" t="s">
        <v>15</v>
      </c>
      <c r="C34" s="21" t="s">
        <v>10</v>
      </c>
      <c r="D34" s="21" t="s">
        <v>14</v>
      </c>
      <c r="E34">
        <v>300</v>
      </c>
      <c r="F34">
        <v>3</v>
      </c>
      <c r="G34" s="21" t="s">
        <v>74</v>
      </c>
      <c r="H34">
        <v>100</v>
      </c>
      <c r="I34" s="21" t="s">
        <v>12</v>
      </c>
      <c r="J34" s="1">
        <v>46182</v>
      </c>
      <c r="K34" s="21" t="s">
        <v>116</v>
      </c>
    </row>
    <row r="35" spans="1:11" x14ac:dyDescent="0.3">
      <c r="A35">
        <v>10003</v>
      </c>
      <c r="B35" s="21" t="s">
        <v>15</v>
      </c>
      <c r="C35" s="21" t="s">
        <v>10</v>
      </c>
      <c r="D35" s="21" t="s">
        <v>14</v>
      </c>
      <c r="E35">
        <v>300</v>
      </c>
      <c r="F35">
        <v>3</v>
      </c>
      <c r="G35" s="21" t="s">
        <v>74</v>
      </c>
      <c r="H35">
        <v>100</v>
      </c>
      <c r="I35" s="21" t="s">
        <v>12</v>
      </c>
      <c r="J35" s="1">
        <v>46057</v>
      </c>
      <c r="K35" s="21" t="s">
        <v>118</v>
      </c>
    </row>
    <row r="36" spans="1:11" x14ac:dyDescent="0.3">
      <c r="A36">
        <v>10006</v>
      </c>
      <c r="B36" s="21" t="s">
        <v>15</v>
      </c>
      <c r="C36" s="21" t="s">
        <v>16</v>
      </c>
      <c r="D36" s="21" t="s">
        <v>14</v>
      </c>
      <c r="E36">
        <v>300</v>
      </c>
      <c r="F36">
        <v>3</v>
      </c>
      <c r="G36" s="21" t="s">
        <v>74</v>
      </c>
      <c r="H36">
        <v>100</v>
      </c>
      <c r="I36" s="21" t="s">
        <v>12</v>
      </c>
      <c r="J36" s="1">
        <v>46125</v>
      </c>
      <c r="K36" s="21" t="s">
        <v>121</v>
      </c>
    </row>
    <row r="37" spans="1:11" x14ac:dyDescent="0.3">
      <c r="A37">
        <v>10006</v>
      </c>
      <c r="B37" s="21" t="s">
        <v>15</v>
      </c>
      <c r="C37" s="21" t="s">
        <v>16</v>
      </c>
      <c r="D37" s="21" t="s">
        <v>14</v>
      </c>
      <c r="E37">
        <v>250</v>
      </c>
      <c r="F37">
        <v>2.5</v>
      </c>
      <c r="G37" s="21" t="s">
        <v>74</v>
      </c>
      <c r="H37">
        <v>100</v>
      </c>
      <c r="I37" s="21" t="s">
        <v>12</v>
      </c>
      <c r="J37" s="1">
        <v>46043</v>
      </c>
      <c r="K37" s="21" t="s">
        <v>117</v>
      </c>
    </row>
    <row r="38" spans="1:11" x14ac:dyDescent="0.3">
      <c r="A38">
        <v>10001</v>
      </c>
      <c r="B38" s="21" t="s">
        <v>15</v>
      </c>
      <c r="C38" s="21" t="s">
        <v>10</v>
      </c>
      <c r="D38" s="21" t="s">
        <v>11</v>
      </c>
      <c r="E38">
        <v>250</v>
      </c>
      <c r="F38">
        <v>1</v>
      </c>
      <c r="G38" s="21" t="s">
        <v>75</v>
      </c>
      <c r="H38">
        <v>250</v>
      </c>
      <c r="I38" s="21" t="s">
        <v>12</v>
      </c>
      <c r="J38" s="1">
        <v>46135</v>
      </c>
      <c r="K38" s="21" t="s">
        <v>121</v>
      </c>
    </row>
    <row r="39" spans="1:11" x14ac:dyDescent="0.3">
      <c r="A39">
        <v>10002</v>
      </c>
      <c r="B39" s="21" t="s">
        <v>15</v>
      </c>
      <c r="C39" s="21" t="s">
        <v>16</v>
      </c>
      <c r="D39" s="21" t="s">
        <v>14</v>
      </c>
      <c r="E39">
        <v>250</v>
      </c>
      <c r="F39">
        <v>2.5</v>
      </c>
      <c r="G39" s="21" t="s">
        <v>74</v>
      </c>
      <c r="H39">
        <v>100</v>
      </c>
      <c r="I39" s="21" t="s">
        <v>12</v>
      </c>
      <c r="J39" s="1">
        <v>46065</v>
      </c>
      <c r="K39" s="21" t="s">
        <v>118</v>
      </c>
    </row>
    <row r="40" spans="1:11" x14ac:dyDescent="0.3">
      <c r="A40">
        <v>10003</v>
      </c>
      <c r="B40" s="21" t="s">
        <v>15</v>
      </c>
      <c r="C40" s="21" t="s">
        <v>16</v>
      </c>
      <c r="D40" s="21" t="s">
        <v>11</v>
      </c>
      <c r="E40">
        <v>200</v>
      </c>
      <c r="F40">
        <v>2</v>
      </c>
      <c r="G40" s="21" t="s">
        <v>74</v>
      </c>
      <c r="H40">
        <v>100</v>
      </c>
      <c r="I40" s="21" t="s">
        <v>12</v>
      </c>
      <c r="J40" s="1">
        <v>46142</v>
      </c>
      <c r="K40" s="21" t="s">
        <v>121</v>
      </c>
    </row>
    <row r="41" spans="1:11" x14ac:dyDescent="0.3">
      <c r="A41">
        <v>10001</v>
      </c>
      <c r="B41" s="21" t="s">
        <v>15</v>
      </c>
      <c r="C41" s="21" t="s">
        <v>16</v>
      </c>
      <c r="D41" s="21" t="s">
        <v>14</v>
      </c>
      <c r="E41">
        <v>150</v>
      </c>
      <c r="F41">
        <v>3</v>
      </c>
      <c r="G41" s="21" t="s">
        <v>74</v>
      </c>
      <c r="H41">
        <v>50</v>
      </c>
      <c r="I41" s="21" t="s">
        <v>12</v>
      </c>
      <c r="J41" s="1">
        <v>46066</v>
      </c>
      <c r="K41" s="21" t="s">
        <v>118</v>
      </c>
    </row>
    <row r="42" spans="1:11" x14ac:dyDescent="0.3">
      <c r="A42">
        <v>10004</v>
      </c>
      <c r="B42" s="21" t="s">
        <v>15</v>
      </c>
      <c r="C42" s="21" t="s">
        <v>16</v>
      </c>
      <c r="D42" s="21" t="s">
        <v>14</v>
      </c>
      <c r="E42">
        <v>150</v>
      </c>
      <c r="F42">
        <v>1.5</v>
      </c>
      <c r="G42" s="21" t="s">
        <v>75</v>
      </c>
      <c r="H42">
        <v>100</v>
      </c>
      <c r="I42" s="21" t="s">
        <v>12</v>
      </c>
      <c r="J42" s="1">
        <v>46202</v>
      </c>
      <c r="K42" s="21" t="s">
        <v>116</v>
      </c>
    </row>
    <row r="43" spans="1:11" x14ac:dyDescent="0.3">
      <c r="A43">
        <v>10004</v>
      </c>
      <c r="B43" s="21" t="s">
        <v>15</v>
      </c>
      <c r="C43" s="21" t="s">
        <v>16</v>
      </c>
      <c r="D43" s="21" t="s">
        <v>14</v>
      </c>
      <c r="E43">
        <v>100</v>
      </c>
      <c r="F43">
        <v>1</v>
      </c>
      <c r="G43" s="21" t="s">
        <v>75</v>
      </c>
      <c r="H43">
        <v>100</v>
      </c>
      <c r="I43" s="21" t="s">
        <v>12</v>
      </c>
      <c r="J43" s="1">
        <v>46170</v>
      </c>
      <c r="K43" s="21" t="s">
        <v>115</v>
      </c>
    </row>
    <row r="44" spans="1:11" x14ac:dyDescent="0.3">
      <c r="A44">
        <v>10006</v>
      </c>
      <c r="B44" s="21" t="s">
        <v>15</v>
      </c>
      <c r="C44" s="21" t="s">
        <v>10</v>
      </c>
      <c r="D44" s="21" t="s">
        <v>14</v>
      </c>
      <c r="E44">
        <v>100</v>
      </c>
      <c r="F44">
        <v>2</v>
      </c>
      <c r="G44" s="21" t="s">
        <v>74</v>
      </c>
      <c r="H44">
        <v>50</v>
      </c>
      <c r="I44" s="21" t="s">
        <v>12</v>
      </c>
      <c r="J44" s="1">
        <v>46174</v>
      </c>
      <c r="K44" s="21" t="s">
        <v>116</v>
      </c>
    </row>
    <row r="45" spans="1:11" x14ac:dyDescent="0.3">
      <c r="A45">
        <v>10006</v>
      </c>
      <c r="B45" s="21" t="s">
        <v>15</v>
      </c>
      <c r="C45" s="21" t="s">
        <v>10</v>
      </c>
      <c r="D45" s="21" t="s">
        <v>14</v>
      </c>
      <c r="E45">
        <v>100</v>
      </c>
      <c r="F45">
        <v>1</v>
      </c>
      <c r="G45" s="21" t="s">
        <v>75</v>
      </c>
      <c r="H45">
        <v>100</v>
      </c>
      <c r="I45" s="21" t="s">
        <v>12</v>
      </c>
      <c r="J45" s="1">
        <v>46041</v>
      </c>
      <c r="K45" s="21" t="s">
        <v>117</v>
      </c>
    </row>
    <row r="46" spans="1:11" x14ac:dyDescent="0.3">
      <c r="A46">
        <v>10004</v>
      </c>
      <c r="B46" s="21" t="s">
        <v>15</v>
      </c>
      <c r="C46" s="21" t="s">
        <v>16</v>
      </c>
      <c r="D46" s="21" t="s">
        <v>11</v>
      </c>
      <c r="E46">
        <v>50</v>
      </c>
      <c r="F46">
        <v>1</v>
      </c>
      <c r="G46" s="21" t="s">
        <v>75</v>
      </c>
      <c r="H46">
        <v>50</v>
      </c>
      <c r="I46" s="21" t="s">
        <v>12</v>
      </c>
      <c r="J46" s="1">
        <v>46133</v>
      </c>
      <c r="K46" s="21" t="s">
        <v>121</v>
      </c>
    </row>
    <row r="47" spans="1:11" x14ac:dyDescent="0.3">
      <c r="A47">
        <v>10006</v>
      </c>
      <c r="B47" s="21" t="s">
        <v>15</v>
      </c>
      <c r="C47" s="21" t="s">
        <v>10</v>
      </c>
      <c r="D47" s="21" t="s">
        <v>14</v>
      </c>
      <c r="E47">
        <v>-25</v>
      </c>
      <c r="F47">
        <v>-0.5</v>
      </c>
      <c r="G47" s="21" t="s">
        <v>75</v>
      </c>
      <c r="H47">
        <v>50</v>
      </c>
      <c r="I47" s="21" t="s">
        <v>17</v>
      </c>
      <c r="J47" s="1">
        <v>46177</v>
      </c>
      <c r="K47" s="21" t="s">
        <v>116</v>
      </c>
    </row>
    <row r="48" spans="1:11" x14ac:dyDescent="0.3">
      <c r="A48">
        <v>10001</v>
      </c>
      <c r="B48" s="21" t="s">
        <v>15</v>
      </c>
      <c r="C48" s="21" t="s">
        <v>10</v>
      </c>
      <c r="D48" s="21" t="s">
        <v>11</v>
      </c>
      <c r="E48">
        <v>-50</v>
      </c>
      <c r="F48">
        <v>-0.5</v>
      </c>
      <c r="G48" s="21" t="s">
        <v>75</v>
      </c>
      <c r="H48">
        <v>100</v>
      </c>
      <c r="I48" s="21" t="s">
        <v>17</v>
      </c>
      <c r="J48" s="1">
        <v>46119</v>
      </c>
      <c r="K48" s="21" t="s">
        <v>121</v>
      </c>
    </row>
    <row r="49" spans="1:11" x14ac:dyDescent="0.3">
      <c r="A49">
        <v>10001</v>
      </c>
      <c r="B49" s="21" t="s">
        <v>15</v>
      </c>
      <c r="C49" s="21" t="s">
        <v>10</v>
      </c>
      <c r="D49" s="21" t="s">
        <v>11</v>
      </c>
      <c r="E49">
        <v>-50</v>
      </c>
      <c r="F49">
        <v>-0.5</v>
      </c>
      <c r="G49" s="21" t="s">
        <v>75</v>
      </c>
      <c r="H49">
        <v>100</v>
      </c>
      <c r="I49" s="21" t="s">
        <v>17</v>
      </c>
      <c r="J49" s="1">
        <v>46095</v>
      </c>
      <c r="K49" s="21" t="s">
        <v>119</v>
      </c>
    </row>
    <row r="50" spans="1:11" x14ac:dyDescent="0.3">
      <c r="A50">
        <v>10001</v>
      </c>
      <c r="B50" s="21" t="s">
        <v>15</v>
      </c>
      <c r="C50" s="21" t="s">
        <v>10</v>
      </c>
      <c r="D50" s="21" t="s">
        <v>14</v>
      </c>
      <c r="E50">
        <v>-50</v>
      </c>
      <c r="F50">
        <v>-1</v>
      </c>
      <c r="G50" s="21" t="s">
        <v>75</v>
      </c>
      <c r="H50">
        <v>50</v>
      </c>
      <c r="I50" s="21" t="s">
        <v>17</v>
      </c>
      <c r="J50" s="1">
        <v>46128</v>
      </c>
      <c r="K50" s="21" t="s">
        <v>121</v>
      </c>
    </row>
    <row r="51" spans="1:11" x14ac:dyDescent="0.3">
      <c r="A51">
        <v>10005</v>
      </c>
      <c r="B51" s="21" t="s">
        <v>15</v>
      </c>
      <c r="C51" s="21" t="s">
        <v>16</v>
      </c>
      <c r="D51" s="21" t="s">
        <v>11</v>
      </c>
      <c r="E51">
        <v>-75</v>
      </c>
      <c r="F51">
        <v>-1.5</v>
      </c>
      <c r="G51" s="21" t="s">
        <v>75</v>
      </c>
      <c r="H51">
        <v>50</v>
      </c>
      <c r="I51" s="21" t="s">
        <v>17</v>
      </c>
      <c r="J51" s="1">
        <v>46099</v>
      </c>
      <c r="K51" s="21" t="s">
        <v>119</v>
      </c>
    </row>
    <row r="52" spans="1:11" x14ac:dyDescent="0.3">
      <c r="A52">
        <v>10003</v>
      </c>
      <c r="B52" s="21" t="s">
        <v>15</v>
      </c>
      <c r="C52" s="21" t="s">
        <v>16</v>
      </c>
      <c r="D52" s="21" t="s">
        <v>14</v>
      </c>
      <c r="E52">
        <v>-100</v>
      </c>
      <c r="F52">
        <v>-0.5</v>
      </c>
      <c r="G52" s="21" t="s">
        <v>75</v>
      </c>
      <c r="H52">
        <v>200</v>
      </c>
      <c r="I52" s="21" t="s">
        <v>17</v>
      </c>
      <c r="J52" s="1">
        <v>46164</v>
      </c>
      <c r="K52" s="21" t="s">
        <v>115</v>
      </c>
    </row>
    <row r="53" spans="1:11" x14ac:dyDescent="0.3">
      <c r="A53">
        <v>10002</v>
      </c>
      <c r="B53" s="21" t="s">
        <v>15</v>
      </c>
      <c r="C53" s="21" t="s">
        <v>16</v>
      </c>
      <c r="D53" s="21" t="s">
        <v>11</v>
      </c>
      <c r="E53">
        <v>-125</v>
      </c>
      <c r="F53">
        <v>-0.5</v>
      </c>
      <c r="G53" s="21" t="s">
        <v>75</v>
      </c>
      <c r="H53">
        <v>250</v>
      </c>
      <c r="I53" s="21" t="s">
        <v>17</v>
      </c>
      <c r="J53" s="1">
        <v>46135</v>
      </c>
      <c r="K53" s="21" t="s">
        <v>121</v>
      </c>
    </row>
    <row r="54" spans="1:11" x14ac:dyDescent="0.3">
      <c r="A54">
        <v>10005</v>
      </c>
      <c r="B54" s="21" t="s">
        <v>15</v>
      </c>
      <c r="C54" s="21" t="s">
        <v>16</v>
      </c>
      <c r="D54" s="21" t="s">
        <v>11</v>
      </c>
      <c r="E54">
        <v>-125</v>
      </c>
      <c r="F54">
        <v>-0.5</v>
      </c>
      <c r="G54" s="21" t="s">
        <v>75</v>
      </c>
      <c r="H54">
        <v>250</v>
      </c>
      <c r="I54" s="21" t="s">
        <v>17</v>
      </c>
      <c r="J54" s="1">
        <v>46042</v>
      </c>
      <c r="K54" s="21" t="s">
        <v>117</v>
      </c>
    </row>
    <row r="55" spans="1:11" x14ac:dyDescent="0.3">
      <c r="A55">
        <v>10006</v>
      </c>
      <c r="B55" s="21" t="s">
        <v>15</v>
      </c>
      <c r="C55" s="21" t="s">
        <v>16</v>
      </c>
      <c r="D55" s="21" t="s">
        <v>11</v>
      </c>
      <c r="E55">
        <v>-250</v>
      </c>
      <c r="F55">
        <v>-1</v>
      </c>
      <c r="G55" s="21" t="s">
        <v>75</v>
      </c>
      <c r="H55">
        <v>250</v>
      </c>
      <c r="I55" s="21" t="s">
        <v>17</v>
      </c>
      <c r="J55" s="1">
        <v>46165</v>
      </c>
      <c r="K55" s="21" t="s">
        <v>115</v>
      </c>
    </row>
    <row r="56" spans="1:11" x14ac:dyDescent="0.3">
      <c r="A56">
        <v>10004</v>
      </c>
      <c r="B56" s="21" t="s">
        <v>15</v>
      </c>
      <c r="C56" s="21" t="s">
        <v>10</v>
      </c>
      <c r="D56" s="21" t="s">
        <v>14</v>
      </c>
      <c r="E56">
        <v>-300</v>
      </c>
      <c r="F56">
        <v>-1.5</v>
      </c>
      <c r="G56" s="21" t="s">
        <v>75</v>
      </c>
      <c r="H56">
        <v>200</v>
      </c>
      <c r="I56" s="21" t="s">
        <v>17</v>
      </c>
      <c r="J56" s="1">
        <v>46057</v>
      </c>
      <c r="K56" s="21" t="s">
        <v>118</v>
      </c>
    </row>
    <row r="57" spans="1:11" x14ac:dyDescent="0.3">
      <c r="A57">
        <v>10003</v>
      </c>
      <c r="B57" s="21" t="s">
        <v>13</v>
      </c>
      <c r="C57" s="21" t="s">
        <v>16</v>
      </c>
      <c r="D57" s="21" t="s">
        <v>11</v>
      </c>
      <c r="E57">
        <v>750</v>
      </c>
      <c r="F57">
        <v>3</v>
      </c>
      <c r="G57" s="21" t="s">
        <v>74</v>
      </c>
      <c r="H57">
        <v>250</v>
      </c>
      <c r="I57" s="21" t="s">
        <v>12</v>
      </c>
      <c r="J57" s="1">
        <v>46027</v>
      </c>
      <c r="K57" s="21" t="s">
        <v>117</v>
      </c>
    </row>
    <row r="58" spans="1:11" x14ac:dyDescent="0.3">
      <c r="A58">
        <v>10002</v>
      </c>
      <c r="B58" s="21" t="s">
        <v>13</v>
      </c>
      <c r="C58" s="21" t="s">
        <v>10</v>
      </c>
      <c r="D58" s="21" t="s">
        <v>11</v>
      </c>
      <c r="E58">
        <v>500</v>
      </c>
      <c r="F58">
        <v>2.5</v>
      </c>
      <c r="G58" s="21" t="s">
        <v>74</v>
      </c>
      <c r="H58">
        <v>200</v>
      </c>
      <c r="I58" s="21" t="s">
        <v>12</v>
      </c>
      <c r="J58" s="1">
        <v>46191</v>
      </c>
      <c r="K58" s="21" t="s">
        <v>116</v>
      </c>
    </row>
    <row r="59" spans="1:11" x14ac:dyDescent="0.3">
      <c r="A59">
        <v>10004</v>
      </c>
      <c r="B59" s="21" t="s">
        <v>13</v>
      </c>
      <c r="C59" s="21" t="s">
        <v>16</v>
      </c>
      <c r="D59" s="21" t="s">
        <v>11</v>
      </c>
      <c r="E59">
        <v>500</v>
      </c>
      <c r="F59">
        <v>2.5</v>
      </c>
      <c r="G59" s="21" t="s">
        <v>74</v>
      </c>
      <c r="H59">
        <v>200</v>
      </c>
      <c r="I59" s="21" t="s">
        <v>12</v>
      </c>
      <c r="J59" s="1">
        <v>46081</v>
      </c>
      <c r="K59" s="21" t="s">
        <v>118</v>
      </c>
    </row>
    <row r="60" spans="1:11" x14ac:dyDescent="0.3">
      <c r="A60">
        <v>10001</v>
      </c>
      <c r="B60" s="21" t="s">
        <v>13</v>
      </c>
      <c r="C60" s="21" t="s">
        <v>16</v>
      </c>
      <c r="D60" s="21" t="s">
        <v>11</v>
      </c>
      <c r="E60">
        <v>375</v>
      </c>
      <c r="F60">
        <v>1.5</v>
      </c>
      <c r="G60" s="21" t="s">
        <v>75</v>
      </c>
      <c r="H60">
        <v>250</v>
      </c>
      <c r="I60" s="21" t="s">
        <v>12</v>
      </c>
      <c r="J60" s="1">
        <v>46203</v>
      </c>
      <c r="K60" s="21" t="s">
        <v>116</v>
      </c>
    </row>
    <row r="61" spans="1:11" x14ac:dyDescent="0.3">
      <c r="A61">
        <v>10004</v>
      </c>
      <c r="B61" s="21" t="s">
        <v>13</v>
      </c>
      <c r="C61" s="21" t="s">
        <v>10</v>
      </c>
      <c r="D61" s="21" t="s">
        <v>11</v>
      </c>
      <c r="E61">
        <v>300</v>
      </c>
      <c r="F61">
        <v>1.5</v>
      </c>
      <c r="G61" s="21" t="s">
        <v>75</v>
      </c>
      <c r="H61">
        <v>200</v>
      </c>
      <c r="I61" s="21" t="s">
        <v>12</v>
      </c>
      <c r="J61" s="1">
        <v>46167</v>
      </c>
      <c r="K61" s="21" t="s">
        <v>115</v>
      </c>
    </row>
    <row r="62" spans="1:11" x14ac:dyDescent="0.3">
      <c r="A62">
        <v>10004</v>
      </c>
      <c r="B62" s="21" t="s">
        <v>13</v>
      </c>
      <c r="C62" s="21" t="s">
        <v>10</v>
      </c>
      <c r="D62" s="21" t="s">
        <v>11</v>
      </c>
      <c r="E62">
        <v>250</v>
      </c>
      <c r="F62">
        <v>1</v>
      </c>
      <c r="G62" s="21" t="s">
        <v>75</v>
      </c>
      <c r="H62">
        <v>250</v>
      </c>
      <c r="I62" s="21" t="s">
        <v>12</v>
      </c>
      <c r="J62" s="1">
        <v>46173</v>
      </c>
      <c r="K62" s="21" t="s">
        <v>115</v>
      </c>
    </row>
    <row r="63" spans="1:11" x14ac:dyDescent="0.3">
      <c r="A63">
        <v>10005</v>
      </c>
      <c r="B63" s="21" t="s">
        <v>13</v>
      </c>
      <c r="C63" s="21" t="s">
        <v>10</v>
      </c>
      <c r="D63" s="21" t="s">
        <v>11</v>
      </c>
      <c r="E63">
        <v>200</v>
      </c>
      <c r="F63">
        <v>1</v>
      </c>
      <c r="G63" s="21" t="s">
        <v>75</v>
      </c>
      <c r="H63">
        <v>200</v>
      </c>
      <c r="I63" s="21" t="s">
        <v>12</v>
      </c>
      <c r="J63" s="1">
        <v>46120</v>
      </c>
      <c r="K63" s="21" t="s">
        <v>121</v>
      </c>
    </row>
    <row r="64" spans="1:11" x14ac:dyDescent="0.3">
      <c r="A64">
        <v>10006</v>
      </c>
      <c r="B64" s="21" t="s">
        <v>13</v>
      </c>
      <c r="C64" s="21" t="s">
        <v>10</v>
      </c>
      <c r="D64" s="21" t="s">
        <v>11</v>
      </c>
      <c r="E64">
        <v>200</v>
      </c>
      <c r="F64">
        <v>1</v>
      </c>
      <c r="G64" s="21" t="s">
        <v>75</v>
      </c>
      <c r="H64">
        <v>200</v>
      </c>
      <c r="I64" s="21" t="s">
        <v>12</v>
      </c>
      <c r="J64" s="1">
        <v>46140</v>
      </c>
      <c r="K64" s="21" t="s">
        <v>121</v>
      </c>
    </row>
    <row r="65" spans="1:11" x14ac:dyDescent="0.3">
      <c r="A65">
        <v>10004</v>
      </c>
      <c r="B65" s="21" t="s">
        <v>13</v>
      </c>
      <c r="C65" s="21" t="s">
        <v>10</v>
      </c>
      <c r="D65" s="21" t="s">
        <v>11</v>
      </c>
      <c r="E65">
        <v>200</v>
      </c>
      <c r="F65">
        <v>2</v>
      </c>
      <c r="G65" s="21" t="s">
        <v>74</v>
      </c>
      <c r="H65">
        <v>100</v>
      </c>
      <c r="I65" s="21" t="s">
        <v>12</v>
      </c>
      <c r="J65" s="1">
        <v>46160</v>
      </c>
      <c r="K65" s="21" t="s">
        <v>115</v>
      </c>
    </row>
    <row r="66" spans="1:11" x14ac:dyDescent="0.3">
      <c r="A66">
        <v>10001</v>
      </c>
      <c r="B66" s="21" t="s">
        <v>13</v>
      </c>
      <c r="C66" s="21" t="s">
        <v>10</v>
      </c>
      <c r="D66" s="21" t="s">
        <v>14</v>
      </c>
      <c r="E66">
        <v>150</v>
      </c>
      <c r="F66">
        <v>3</v>
      </c>
      <c r="G66" s="21" t="s">
        <v>74</v>
      </c>
      <c r="H66">
        <v>50</v>
      </c>
      <c r="I66" s="21" t="s">
        <v>12</v>
      </c>
      <c r="J66" s="1">
        <v>46178</v>
      </c>
      <c r="K66" s="21" t="s">
        <v>116</v>
      </c>
    </row>
    <row r="67" spans="1:11" x14ac:dyDescent="0.3">
      <c r="A67">
        <v>10004</v>
      </c>
      <c r="B67" s="21" t="s">
        <v>13</v>
      </c>
      <c r="C67" s="21" t="s">
        <v>10</v>
      </c>
      <c r="D67" s="21" t="s">
        <v>14</v>
      </c>
      <c r="E67">
        <v>150</v>
      </c>
      <c r="F67">
        <v>3</v>
      </c>
      <c r="G67" s="21" t="s">
        <v>74</v>
      </c>
      <c r="H67">
        <v>50</v>
      </c>
      <c r="I67" s="21" t="s">
        <v>12</v>
      </c>
      <c r="J67" s="1">
        <v>46091</v>
      </c>
      <c r="K67" s="21" t="s">
        <v>119</v>
      </c>
    </row>
    <row r="68" spans="1:11" x14ac:dyDescent="0.3">
      <c r="A68">
        <v>10005</v>
      </c>
      <c r="B68" s="21" t="s">
        <v>13</v>
      </c>
      <c r="C68" s="21" t="s">
        <v>16</v>
      </c>
      <c r="D68" s="21" t="s">
        <v>14</v>
      </c>
      <c r="E68">
        <v>125</v>
      </c>
      <c r="F68">
        <v>2.5</v>
      </c>
      <c r="G68" s="21" t="s">
        <v>74</v>
      </c>
      <c r="H68">
        <v>50</v>
      </c>
      <c r="I68" s="21" t="s">
        <v>12</v>
      </c>
      <c r="J68" s="1">
        <v>46076</v>
      </c>
      <c r="K68" s="21" t="s">
        <v>118</v>
      </c>
    </row>
    <row r="69" spans="1:11" x14ac:dyDescent="0.3">
      <c r="A69">
        <v>10002</v>
      </c>
      <c r="B69" s="21" t="s">
        <v>13</v>
      </c>
      <c r="C69" s="21" t="s">
        <v>16</v>
      </c>
      <c r="D69" s="21" t="s">
        <v>11</v>
      </c>
      <c r="E69">
        <v>100</v>
      </c>
      <c r="F69">
        <v>2</v>
      </c>
      <c r="G69" s="21" t="s">
        <v>74</v>
      </c>
      <c r="H69">
        <v>50</v>
      </c>
      <c r="I69" s="21" t="s">
        <v>12</v>
      </c>
      <c r="J69" s="1">
        <v>46205</v>
      </c>
      <c r="K69" s="21" t="s">
        <v>120</v>
      </c>
    </row>
    <row r="70" spans="1:11" x14ac:dyDescent="0.3">
      <c r="A70">
        <v>10006</v>
      </c>
      <c r="B70" s="21" t="s">
        <v>13</v>
      </c>
      <c r="C70" s="21" t="s">
        <v>16</v>
      </c>
      <c r="D70" s="21" t="s">
        <v>11</v>
      </c>
      <c r="E70">
        <v>50</v>
      </c>
      <c r="F70">
        <v>1</v>
      </c>
      <c r="G70" s="21" t="s">
        <v>75</v>
      </c>
      <c r="H70">
        <v>50</v>
      </c>
      <c r="I70" s="21" t="s">
        <v>12</v>
      </c>
      <c r="J70" s="1">
        <v>46117</v>
      </c>
      <c r="K70" s="21" t="s">
        <v>121</v>
      </c>
    </row>
    <row r="71" spans="1:11" x14ac:dyDescent="0.3">
      <c r="A71">
        <v>10004</v>
      </c>
      <c r="B71" s="21" t="s">
        <v>13</v>
      </c>
      <c r="C71" s="21" t="s">
        <v>10</v>
      </c>
      <c r="D71" s="21" t="s">
        <v>14</v>
      </c>
      <c r="E71">
        <v>50</v>
      </c>
      <c r="F71">
        <v>1</v>
      </c>
      <c r="G71" s="21" t="s">
        <v>75</v>
      </c>
      <c r="H71">
        <v>50</v>
      </c>
      <c r="I71" s="21" t="s">
        <v>12</v>
      </c>
      <c r="J71" s="1">
        <v>46069</v>
      </c>
      <c r="K71" s="21" t="s">
        <v>118</v>
      </c>
    </row>
    <row r="72" spans="1:11" x14ac:dyDescent="0.3">
      <c r="A72">
        <v>10003</v>
      </c>
      <c r="B72" s="21" t="s">
        <v>13</v>
      </c>
      <c r="C72" s="21" t="s">
        <v>10</v>
      </c>
      <c r="D72" s="21" t="s">
        <v>14</v>
      </c>
      <c r="E72">
        <v>50</v>
      </c>
      <c r="F72">
        <v>1</v>
      </c>
      <c r="G72" s="21" t="s">
        <v>75</v>
      </c>
      <c r="H72">
        <v>50</v>
      </c>
      <c r="I72" s="21" t="s">
        <v>12</v>
      </c>
      <c r="J72" s="1">
        <v>46047</v>
      </c>
      <c r="K72" s="21" t="s">
        <v>117</v>
      </c>
    </row>
    <row r="73" spans="1:11" x14ac:dyDescent="0.3">
      <c r="A73">
        <v>10005</v>
      </c>
      <c r="B73" s="21" t="s">
        <v>13</v>
      </c>
      <c r="C73" s="21" t="s">
        <v>10</v>
      </c>
      <c r="D73" s="21" t="s">
        <v>11</v>
      </c>
      <c r="E73">
        <v>-75</v>
      </c>
      <c r="F73">
        <v>-1.5</v>
      </c>
      <c r="G73" s="21" t="s">
        <v>75</v>
      </c>
      <c r="H73">
        <v>50</v>
      </c>
      <c r="I73" s="21" t="s">
        <v>17</v>
      </c>
      <c r="J73" s="1">
        <v>46067</v>
      </c>
      <c r="K73" s="21" t="s">
        <v>118</v>
      </c>
    </row>
    <row r="74" spans="1:11" x14ac:dyDescent="0.3">
      <c r="A74">
        <v>10004</v>
      </c>
      <c r="B74" s="21" t="s">
        <v>13</v>
      </c>
      <c r="C74" s="21" t="s">
        <v>16</v>
      </c>
      <c r="D74" s="21" t="s">
        <v>11</v>
      </c>
      <c r="E74">
        <v>-75</v>
      </c>
      <c r="F74">
        <v>-1.5</v>
      </c>
      <c r="G74" s="21" t="s">
        <v>75</v>
      </c>
      <c r="H74">
        <v>50</v>
      </c>
      <c r="I74" s="21" t="s">
        <v>17</v>
      </c>
      <c r="J74" s="1">
        <v>46054</v>
      </c>
      <c r="K74" s="21" t="s">
        <v>118</v>
      </c>
    </row>
    <row r="75" spans="1:11" x14ac:dyDescent="0.3">
      <c r="A75">
        <v>10005</v>
      </c>
      <c r="B75" s="21" t="s">
        <v>13</v>
      </c>
      <c r="C75" s="21" t="s">
        <v>10</v>
      </c>
      <c r="D75" s="21" t="s">
        <v>11</v>
      </c>
      <c r="E75">
        <v>-100</v>
      </c>
      <c r="F75">
        <v>-1</v>
      </c>
      <c r="G75" s="21" t="s">
        <v>75</v>
      </c>
      <c r="H75">
        <v>100</v>
      </c>
      <c r="I75" s="21" t="s">
        <v>17</v>
      </c>
      <c r="J75" s="1">
        <v>46059</v>
      </c>
      <c r="K75" s="21" t="s">
        <v>118</v>
      </c>
    </row>
    <row r="76" spans="1:11" x14ac:dyDescent="0.3">
      <c r="A76">
        <v>10006</v>
      </c>
      <c r="B76" s="21" t="s">
        <v>13</v>
      </c>
      <c r="C76" s="21" t="s">
        <v>10</v>
      </c>
      <c r="D76" s="21" t="s">
        <v>14</v>
      </c>
      <c r="E76">
        <v>-100</v>
      </c>
      <c r="F76">
        <v>-1</v>
      </c>
      <c r="G76" s="21" t="s">
        <v>75</v>
      </c>
      <c r="H76">
        <v>100</v>
      </c>
      <c r="I76" s="21" t="s">
        <v>17</v>
      </c>
      <c r="J76" s="1">
        <v>46072</v>
      </c>
      <c r="K76" s="21" t="s">
        <v>118</v>
      </c>
    </row>
    <row r="77" spans="1:11" x14ac:dyDescent="0.3">
      <c r="A77">
        <v>10002</v>
      </c>
      <c r="B77" s="21" t="s">
        <v>13</v>
      </c>
      <c r="C77" s="21" t="s">
        <v>16</v>
      </c>
      <c r="D77" s="21" t="s">
        <v>11</v>
      </c>
      <c r="E77">
        <v>-100</v>
      </c>
      <c r="F77">
        <v>-0.5</v>
      </c>
      <c r="G77" s="21" t="s">
        <v>75</v>
      </c>
      <c r="H77">
        <v>200</v>
      </c>
      <c r="I77" s="21" t="s">
        <v>17</v>
      </c>
      <c r="J77" s="1">
        <v>46146</v>
      </c>
      <c r="K77" s="21" t="s">
        <v>115</v>
      </c>
    </row>
    <row r="78" spans="1:11" x14ac:dyDescent="0.3">
      <c r="A78">
        <v>10003</v>
      </c>
      <c r="B78" s="21" t="s">
        <v>13</v>
      </c>
      <c r="C78" s="21" t="s">
        <v>10</v>
      </c>
      <c r="D78" s="21" t="s">
        <v>11</v>
      </c>
      <c r="E78">
        <v>-125</v>
      </c>
      <c r="F78">
        <v>-0.5</v>
      </c>
      <c r="G78" s="21" t="s">
        <v>75</v>
      </c>
      <c r="H78">
        <v>250</v>
      </c>
      <c r="I78" s="21" t="s">
        <v>17</v>
      </c>
      <c r="J78" s="1">
        <v>46050</v>
      </c>
      <c r="K78" s="21" t="s">
        <v>117</v>
      </c>
    </row>
    <row r="79" spans="1:11" x14ac:dyDescent="0.3">
      <c r="A79">
        <v>10004</v>
      </c>
      <c r="B79" s="21" t="s">
        <v>13</v>
      </c>
      <c r="C79" s="21" t="s">
        <v>16</v>
      </c>
      <c r="D79" s="21" t="s">
        <v>14</v>
      </c>
      <c r="E79">
        <v>-125</v>
      </c>
      <c r="F79">
        <v>-0.5</v>
      </c>
      <c r="G79" s="21" t="s">
        <v>75</v>
      </c>
      <c r="H79">
        <v>250</v>
      </c>
      <c r="I79" s="21" t="s">
        <v>17</v>
      </c>
      <c r="J79" s="1">
        <v>46131</v>
      </c>
      <c r="K79" s="21" t="s">
        <v>121</v>
      </c>
    </row>
    <row r="80" spans="1:11" x14ac:dyDescent="0.3">
      <c r="A80">
        <v>10003</v>
      </c>
      <c r="B80" s="21" t="s">
        <v>13</v>
      </c>
      <c r="C80" s="21" t="s">
        <v>16</v>
      </c>
      <c r="D80" s="21" t="s">
        <v>11</v>
      </c>
      <c r="E80">
        <v>-200</v>
      </c>
      <c r="F80">
        <v>-1</v>
      </c>
      <c r="G80" s="21" t="s">
        <v>75</v>
      </c>
      <c r="H80">
        <v>200</v>
      </c>
      <c r="I80" s="21" t="s">
        <v>17</v>
      </c>
      <c r="J80" s="1">
        <v>46160</v>
      </c>
      <c r="K80" s="21" t="s">
        <v>115</v>
      </c>
    </row>
    <row r="81" spans="1:11" x14ac:dyDescent="0.3">
      <c r="A81">
        <v>10005</v>
      </c>
      <c r="B81" s="21" t="s">
        <v>13</v>
      </c>
      <c r="C81" s="21" t="s">
        <v>16</v>
      </c>
      <c r="D81" s="21" t="s">
        <v>11</v>
      </c>
      <c r="E81">
        <v>-375</v>
      </c>
      <c r="F81">
        <v>-1.5</v>
      </c>
      <c r="G81" s="21" t="s">
        <v>75</v>
      </c>
      <c r="H81">
        <v>250</v>
      </c>
      <c r="I81" s="21" t="s">
        <v>17</v>
      </c>
      <c r="J81" s="1">
        <v>46061</v>
      </c>
      <c r="K81" s="21" t="s">
        <v>118</v>
      </c>
    </row>
    <row r="82" spans="1:11" x14ac:dyDescent="0.3">
      <c r="A82">
        <v>10004</v>
      </c>
      <c r="B82" s="21" t="s">
        <v>13</v>
      </c>
      <c r="C82" s="21" t="s">
        <v>16</v>
      </c>
      <c r="D82" s="21" t="s">
        <v>14</v>
      </c>
      <c r="E82">
        <v>-375</v>
      </c>
      <c r="F82">
        <v>-1.5</v>
      </c>
      <c r="G82" s="21" t="s">
        <v>75</v>
      </c>
      <c r="H82">
        <v>250</v>
      </c>
      <c r="I82" s="21" t="s">
        <v>17</v>
      </c>
      <c r="J82" s="1">
        <v>46030</v>
      </c>
      <c r="K82" s="21" t="s">
        <v>117</v>
      </c>
    </row>
    <row r="83" spans="1:11" x14ac:dyDescent="0.3">
      <c r="A83">
        <v>10005</v>
      </c>
      <c r="B83" s="21" t="s">
        <v>13</v>
      </c>
      <c r="C83" s="21" t="s">
        <v>10</v>
      </c>
      <c r="D83" s="21" t="s">
        <v>11</v>
      </c>
      <c r="E83">
        <v>-375</v>
      </c>
      <c r="F83">
        <v>-1.5</v>
      </c>
      <c r="G83" s="21" t="s">
        <v>75</v>
      </c>
      <c r="H83">
        <v>250</v>
      </c>
      <c r="I83" s="21" t="s">
        <v>17</v>
      </c>
      <c r="J83" s="1">
        <v>46066</v>
      </c>
      <c r="K83" s="21" t="s">
        <v>118</v>
      </c>
    </row>
    <row r="84" spans="1:11" x14ac:dyDescent="0.3">
      <c r="A84">
        <v>10002</v>
      </c>
      <c r="B84" s="21" t="s">
        <v>18</v>
      </c>
      <c r="C84" s="21" t="s">
        <v>10</v>
      </c>
      <c r="D84" s="21" t="s">
        <v>14</v>
      </c>
      <c r="E84">
        <v>500</v>
      </c>
      <c r="F84">
        <v>2.5</v>
      </c>
      <c r="G84" s="21" t="s">
        <v>74</v>
      </c>
      <c r="H84">
        <v>200</v>
      </c>
      <c r="I84" s="21" t="s">
        <v>12</v>
      </c>
      <c r="J84" s="1">
        <v>46076</v>
      </c>
      <c r="K84" s="21" t="s">
        <v>118</v>
      </c>
    </row>
    <row r="85" spans="1:11" x14ac:dyDescent="0.3">
      <c r="A85">
        <v>10002</v>
      </c>
      <c r="B85" s="21" t="s">
        <v>18</v>
      </c>
      <c r="C85" s="21" t="s">
        <v>16</v>
      </c>
      <c r="D85" s="21" t="s">
        <v>14</v>
      </c>
      <c r="E85">
        <v>375</v>
      </c>
      <c r="F85">
        <v>1.5</v>
      </c>
      <c r="G85" s="21" t="s">
        <v>75</v>
      </c>
      <c r="H85">
        <v>250</v>
      </c>
      <c r="I85" s="21" t="s">
        <v>12</v>
      </c>
      <c r="J85" s="1">
        <v>46144</v>
      </c>
      <c r="K85" s="21" t="s">
        <v>115</v>
      </c>
    </row>
    <row r="86" spans="1:11" x14ac:dyDescent="0.3">
      <c r="A86">
        <v>10003</v>
      </c>
      <c r="B86" s="21" t="s">
        <v>18</v>
      </c>
      <c r="C86" s="21" t="s">
        <v>10</v>
      </c>
      <c r="D86" s="21" t="s">
        <v>14</v>
      </c>
      <c r="E86">
        <v>300</v>
      </c>
      <c r="F86">
        <v>1.5</v>
      </c>
      <c r="G86" s="21" t="s">
        <v>75</v>
      </c>
      <c r="H86">
        <v>200</v>
      </c>
      <c r="I86" s="21" t="s">
        <v>12</v>
      </c>
      <c r="J86" s="1">
        <v>46177</v>
      </c>
      <c r="K86" s="21" t="s">
        <v>116</v>
      </c>
    </row>
    <row r="87" spans="1:11" x14ac:dyDescent="0.3">
      <c r="A87">
        <v>10002</v>
      </c>
      <c r="B87" s="21" t="s">
        <v>18</v>
      </c>
      <c r="C87" s="21" t="s">
        <v>10</v>
      </c>
      <c r="D87" s="21" t="s">
        <v>14</v>
      </c>
      <c r="E87">
        <v>250</v>
      </c>
      <c r="F87">
        <v>2.5</v>
      </c>
      <c r="G87" s="21" t="s">
        <v>74</v>
      </c>
      <c r="H87">
        <v>100</v>
      </c>
      <c r="I87" s="21" t="s">
        <v>12</v>
      </c>
      <c r="J87" s="1">
        <v>46130</v>
      </c>
      <c r="K87" s="21" t="s">
        <v>121</v>
      </c>
    </row>
    <row r="88" spans="1:11" x14ac:dyDescent="0.3">
      <c r="A88">
        <v>10002</v>
      </c>
      <c r="B88" s="21" t="s">
        <v>18</v>
      </c>
      <c r="C88" s="21" t="s">
        <v>16</v>
      </c>
      <c r="D88" s="21" t="s">
        <v>14</v>
      </c>
      <c r="E88">
        <v>250</v>
      </c>
      <c r="F88">
        <v>2.5</v>
      </c>
      <c r="G88" s="21" t="s">
        <v>74</v>
      </c>
      <c r="H88">
        <v>100</v>
      </c>
      <c r="I88" s="21" t="s">
        <v>12</v>
      </c>
      <c r="J88" s="1">
        <v>46096</v>
      </c>
      <c r="K88" s="21" t="s">
        <v>119</v>
      </c>
    </row>
    <row r="89" spans="1:11" x14ac:dyDescent="0.3">
      <c r="A89">
        <v>10006</v>
      </c>
      <c r="B89" s="21" t="s">
        <v>18</v>
      </c>
      <c r="C89" s="21" t="s">
        <v>10</v>
      </c>
      <c r="D89" s="21" t="s">
        <v>14</v>
      </c>
      <c r="E89">
        <v>150</v>
      </c>
      <c r="F89">
        <v>1.5</v>
      </c>
      <c r="G89" s="21" t="s">
        <v>75</v>
      </c>
      <c r="H89">
        <v>100</v>
      </c>
      <c r="I89" s="21" t="s">
        <v>12</v>
      </c>
      <c r="J89" s="1">
        <v>46158</v>
      </c>
      <c r="K89" s="21" t="s">
        <v>115</v>
      </c>
    </row>
    <row r="90" spans="1:11" x14ac:dyDescent="0.3">
      <c r="A90">
        <v>10003</v>
      </c>
      <c r="B90" s="21" t="s">
        <v>18</v>
      </c>
      <c r="C90" s="21" t="s">
        <v>10</v>
      </c>
      <c r="D90" s="21" t="s">
        <v>14</v>
      </c>
      <c r="E90">
        <v>100</v>
      </c>
      <c r="F90">
        <v>1</v>
      </c>
      <c r="G90" s="21" t="s">
        <v>75</v>
      </c>
      <c r="H90">
        <v>100</v>
      </c>
      <c r="I90" s="21" t="s">
        <v>12</v>
      </c>
      <c r="J90" s="1">
        <v>46197</v>
      </c>
      <c r="K90" s="21" t="s">
        <v>116</v>
      </c>
    </row>
    <row r="91" spans="1:11" x14ac:dyDescent="0.3">
      <c r="A91">
        <v>10003</v>
      </c>
      <c r="B91" s="21" t="s">
        <v>18</v>
      </c>
      <c r="C91" s="21" t="s">
        <v>16</v>
      </c>
      <c r="D91" s="21" t="s">
        <v>11</v>
      </c>
      <c r="E91">
        <v>75</v>
      </c>
      <c r="F91">
        <v>1.5</v>
      </c>
      <c r="G91" s="21" t="s">
        <v>75</v>
      </c>
      <c r="H91">
        <v>50</v>
      </c>
      <c r="I91" s="21" t="s">
        <v>12</v>
      </c>
      <c r="J91" s="1">
        <v>46167</v>
      </c>
      <c r="K91" s="21" t="s">
        <v>115</v>
      </c>
    </row>
    <row r="92" spans="1:11" x14ac:dyDescent="0.3">
      <c r="A92">
        <v>10003</v>
      </c>
      <c r="B92" s="21" t="s">
        <v>18</v>
      </c>
      <c r="C92" s="21" t="s">
        <v>10</v>
      </c>
      <c r="D92" s="21" t="s">
        <v>14</v>
      </c>
      <c r="E92">
        <v>-50</v>
      </c>
      <c r="F92">
        <v>-0.5</v>
      </c>
      <c r="G92" s="21" t="s">
        <v>75</v>
      </c>
      <c r="H92">
        <v>100</v>
      </c>
      <c r="I92" s="21" t="s">
        <v>17</v>
      </c>
      <c r="J92" s="1">
        <v>46035</v>
      </c>
      <c r="K92" s="21" t="s">
        <v>117</v>
      </c>
    </row>
    <row r="93" spans="1:11" x14ac:dyDescent="0.3">
      <c r="A93">
        <v>10006</v>
      </c>
      <c r="B93" s="21" t="s">
        <v>18</v>
      </c>
      <c r="C93" s="21" t="s">
        <v>10</v>
      </c>
      <c r="D93" s="21" t="s">
        <v>11</v>
      </c>
      <c r="E93">
        <v>-75</v>
      </c>
      <c r="F93">
        <v>-1.5</v>
      </c>
      <c r="G93" s="21" t="s">
        <v>75</v>
      </c>
      <c r="H93">
        <v>50</v>
      </c>
      <c r="I93" s="21" t="s">
        <v>17</v>
      </c>
      <c r="J93" s="1">
        <v>46121</v>
      </c>
      <c r="K93" s="21" t="s">
        <v>121</v>
      </c>
    </row>
    <row r="94" spans="1:11" x14ac:dyDescent="0.3">
      <c r="A94">
        <v>10003</v>
      </c>
      <c r="B94" s="21" t="s">
        <v>18</v>
      </c>
      <c r="C94" s="21" t="s">
        <v>10</v>
      </c>
      <c r="D94" s="21" t="s">
        <v>14</v>
      </c>
      <c r="E94">
        <v>-75</v>
      </c>
      <c r="F94">
        <v>-1.5</v>
      </c>
      <c r="G94" s="21" t="s">
        <v>75</v>
      </c>
      <c r="H94">
        <v>50</v>
      </c>
      <c r="I94" s="21" t="s">
        <v>17</v>
      </c>
      <c r="J94" s="1">
        <v>46187</v>
      </c>
      <c r="K94" s="21" t="s">
        <v>116</v>
      </c>
    </row>
    <row r="95" spans="1:11" x14ac:dyDescent="0.3">
      <c r="A95">
        <v>10005</v>
      </c>
      <c r="B95" s="21" t="s">
        <v>18</v>
      </c>
      <c r="C95" s="21" t="s">
        <v>10</v>
      </c>
      <c r="D95" s="21" t="s">
        <v>11</v>
      </c>
      <c r="E95">
        <v>-75</v>
      </c>
      <c r="F95">
        <v>-1.5</v>
      </c>
      <c r="G95" s="21" t="s">
        <v>75</v>
      </c>
      <c r="H95">
        <v>50</v>
      </c>
      <c r="I95" s="21" t="s">
        <v>17</v>
      </c>
      <c r="J95" s="1">
        <v>46190</v>
      </c>
      <c r="K95" s="21" t="s">
        <v>116</v>
      </c>
    </row>
    <row r="96" spans="1:11" x14ac:dyDescent="0.3">
      <c r="A96">
        <v>10001</v>
      </c>
      <c r="B96" s="21" t="s">
        <v>18</v>
      </c>
      <c r="C96" s="21" t="s">
        <v>16</v>
      </c>
      <c r="D96" s="21" t="s">
        <v>14</v>
      </c>
      <c r="E96">
        <v>-100</v>
      </c>
      <c r="F96">
        <v>-1</v>
      </c>
      <c r="G96" s="21" t="s">
        <v>75</v>
      </c>
      <c r="H96">
        <v>100</v>
      </c>
      <c r="I96" s="21" t="s">
        <v>17</v>
      </c>
      <c r="J96" s="1">
        <v>46180</v>
      </c>
      <c r="K96" s="21" t="s">
        <v>116</v>
      </c>
    </row>
    <row r="97" spans="1:11" x14ac:dyDescent="0.3">
      <c r="A97">
        <v>10004</v>
      </c>
      <c r="B97" s="21" t="s">
        <v>18</v>
      </c>
      <c r="C97" s="21" t="s">
        <v>16</v>
      </c>
      <c r="D97" s="21" t="s">
        <v>11</v>
      </c>
      <c r="E97">
        <v>-150</v>
      </c>
      <c r="F97">
        <v>-1.5</v>
      </c>
      <c r="G97" s="21" t="s">
        <v>75</v>
      </c>
      <c r="H97">
        <v>100</v>
      </c>
      <c r="I97" s="21" t="s">
        <v>17</v>
      </c>
      <c r="J97" s="1">
        <v>46156</v>
      </c>
      <c r="K97" s="21" t="s">
        <v>115</v>
      </c>
    </row>
    <row r="98" spans="1:11" x14ac:dyDescent="0.3">
      <c r="A98">
        <v>10001</v>
      </c>
      <c r="B98" s="21" t="s">
        <v>18</v>
      </c>
      <c r="C98" s="21" t="s">
        <v>10</v>
      </c>
      <c r="D98" s="21" t="s">
        <v>14</v>
      </c>
      <c r="E98">
        <v>-200</v>
      </c>
      <c r="F98">
        <v>-1</v>
      </c>
      <c r="G98" s="21" t="s">
        <v>75</v>
      </c>
      <c r="H98">
        <v>200</v>
      </c>
      <c r="I98" s="21" t="s">
        <v>17</v>
      </c>
      <c r="J98" s="1">
        <v>46202</v>
      </c>
      <c r="K98" s="21" t="s">
        <v>116</v>
      </c>
    </row>
    <row r="99" spans="1:11" x14ac:dyDescent="0.3">
      <c r="A99">
        <v>10003</v>
      </c>
      <c r="B99" s="21" t="s">
        <v>18</v>
      </c>
      <c r="C99" s="21" t="s">
        <v>10</v>
      </c>
      <c r="D99" s="21" t="s">
        <v>11</v>
      </c>
      <c r="E99">
        <v>-200</v>
      </c>
      <c r="F99">
        <v>-1</v>
      </c>
      <c r="G99" s="21" t="s">
        <v>75</v>
      </c>
      <c r="H99">
        <v>200</v>
      </c>
      <c r="I99" s="21" t="s">
        <v>17</v>
      </c>
      <c r="J99" s="1">
        <v>46111</v>
      </c>
      <c r="K99" s="21" t="s">
        <v>119</v>
      </c>
    </row>
    <row r="100" spans="1:11" x14ac:dyDescent="0.3">
      <c r="A100">
        <v>10002</v>
      </c>
      <c r="B100" s="21" t="s">
        <v>18</v>
      </c>
      <c r="C100" s="21" t="s">
        <v>10</v>
      </c>
      <c r="D100" s="21" t="s">
        <v>11</v>
      </c>
      <c r="E100">
        <v>-250</v>
      </c>
      <c r="F100">
        <v>-1</v>
      </c>
      <c r="G100" s="21" t="s">
        <v>75</v>
      </c>
      <c r="H100">
        <v>250</v>
      </c>
      <c r="I100" s="21" t="s">
        <v>17</v>
      </c>
      <c r="J100" s="1">
        <v>46096</v>
      </c>
      <c r="K100" s="21" t="s">
        <v>119</v>
      </c>
    </row>
    <row r="101" spans="1:11" x14ac:dyDescent="0.3">
      <c r="A101">
        <v>10005</v>
      </c>
      <c r="B101" s="21" t="s">
        <v>18</v>
      </c>
      <c r="C101" s="21" t="s">
        <v>10</v>
      </c>
      <c r="D101" s="21" t="s">
        <v>11</v>
      </c>
      <c r="E101">
        <v>-250</v>
      </c>
      <c r="F101">
        <v>-1</v>
      </c>
      <c r="G101" s="21" t="s">
        <v>75</v>
      </c>
      <c r="H101">
        <v>250</v>
      </c>
      <c r="I101" s="21" t="s">
        <v>17</v>
      </c>
      <c r="J101" s="1">
        <v>46104</v>
      </c>
      <c r="K101" s="21" t="s">
        <v>119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I9" sqref="I9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9" t="s">
        <v>63</v>
      </c>
      <c r="O6" s="29"/>
      <c r="P6" s="29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74" priority="2"/>
  </conditionalFormatting>
  <conditionalFormatting sqref="A1:A1048576">
    <cfRule type="duplicateValues" dxfId="17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21151-4306-4E94-877E-3E0A5CCF7860}">
  <dimension ref="A4:K24"/>
  <sheetViews>
    <sheetView workbookViewId="0">
      <selection activeCell="O23" sqref="O23"/>
    </sheetView>
  </sheetViews>
  <sheetFormatPr defaultRowHeight="14.4" x14ac:dyDescent="0.3"/>
  <cols>
    <col min="8" max="8" width="14.44140625" customWidth="1"/>
  </cols>
  <sheetData>
    <row r="4" spans="1:11" x14ac:dyDescent="0.3">
      <c r="A4" s="24" t="s">
        <v>85</v>
      </c>
      <c r="B4" s="24" t="s">
        <v>86</v>
      </c>
      <c r="C4" s="24" t="s">
        <v>87</v>
      </c>
    </row>
    <row r="5" spans="1:11" x14ac:dyDescent="0.3">
      <c r="A5" s="2" t="s">
        <v>88</v>
      </c>
      <c r="B5" s="2">
        <v>12</v>
      </c>
      <c r="C5" s="2" t="str">
        <f>IF(B5&gt;20,"kbir","sghir")</f>
        <v>sghir</v>
      </c>
    </row>
    <row r="6" spans="1:11" x14ac:dyDescent="0.3">
      <c r="A6" s="2" t="s">
        <v>89</v>
      </c>
      <c r="B6" s="2">
        <v>13</v>
      </c>
      <c r="C6" s="2" t="str">
        <f t="shared" ref="C6:C13" si="0">IF(B6&gt;20,"kbir","sghir")</f>
        <v>sghir</v>
      </c>
    </row>
    <row r="7" spans="1:11" x14ac:dyDescent="0.3">
      <c r="A7" s="2" t="s">
        <v>90</v>
      </c>
      <c r="B7" s="2">
        <v>27</v>
      </c>
      <c r="C7" s="2" t="str">
        <f t="shared" si="0"/>
        <v>kbir</v>
      </c>
      <c r="G7" s="29" t="s">
        <v>99</v>
      </c>
      <c r="H7" s="29"/>
      <c r="I7" s="29" t="s">
        <v>100</v>
      </c>
      <c r="J7" s="29"/>
      <c r="K7" s="29"/>
    </row>
    <row r="8" spans="1:11" x14ac:dyDescent="0.3">
      <c r="A8" s="2" t="s">
        <v>91</v>
      </c>
      <c r="B8" s="2">
        <v>38</v>
      </c>
      <c r="C8" s="2" t="str">
        <f t="shared" si="0"/>
        <v>kbir</v>
      </c>
    </row>
    <row r="9" spans="1:11" x14ac:dyDescent="0.3">
      <c r="A9" s="2" t="s">
        <v>92</v>
      </c>
      <c r="B9" s="2">
        <v>39</v>
      </c>
      <c r="C9" s="2" t="str">
        <f t="shared" si="0"/>
        <v>kbir</v>
      </c>
      <c r="G9" s="24" t="s">
        <v>97</v>
      </c>
      <c r="H9" s="2" t="s">
        <v>87</v>
      </c>
      <c r="J9" s="26" t="s">
        <v>98</v>
      </c>
      <c r="K9" s="2" t="s">
        <v>88</v>
      </c>
    </row>
    <row r="10" spans="1:11" x14ac:dyDescent="0.3">
      <c r="A10" s="2" t="s">
        <v>93</v>
      </c>
      <c r="B10" s="2">
        <v>26</v>
      </c>
      <c r="C10" s="2" t="str">
        <f t="shared" si="0"/>
        <v>kbir</v>
      </c>
      <c r="G10" s="24" t="s">
        <v>98</v>
      </c>
      <c r="H10" s="2" t="s">
        <v>89</v>
      </c>
      <c r="K10" t="s">
        <v>86</v>
      </c>
    </row>
    <row r="11" spans="1:11" x14ac:dyDescent="0.3">
      <c r="A11" s="2" t="s">
        <v>94</v>
      </c>
      <c r="B11" s="2">
        <v>44</v>
      </c>
      <c r="C11" s="2" t="str">
        <f t="shared" si="0"/>
        <v>kbir</v>
      </c>
    </row>
    <row r="12" spans="1:11" x14ac:dyDescent="0.3">
      <c r="A12" s="2" t="s">
        <v>95</v>
      </c>
      <c r="B12" s="2">
        <v>87</v>
      </c>
      <c r="C12" s="2" t="str">
        <f t="shared" si="0"/>
        <v>kbir</v>
      </c>
      <c r="G12" s="30" t="str">
        <f>HLOOKUP(H9,A4:C13,MATCH(H10,A4:A13,0))</f>
        <v>sghir</v>
      </c>
      <c r="H12" s="30"/>
      <c r="J12" s="30"/>
      <c r="K12" s="30"/>
    </row>
    <row r="13" spans="1:11" x14ac:dyDescent="0.3">
      <c r="A13" s="2" t="s">
        <v>96</v>
      </c>
      <c r="B13" s="2">
        <v>56</v>
      </c>
      <c r="C13" s="2" t="str">
        <f t="shared" si="0"/>
        <v>kbir</v>
      </c>
    </row>
    <row r="15" spans="1:11" x14ac:dyDescent="0.3">
      <c r="J15" s="26" t="s">
        <v>85</v>
      </c>
      <c r="K15" s="26" t="s">
        <v>87</v>
      </c>
    </row>
    <row r="16" spans="1:11" x14ac:dyDescent="0.3">
      <c r="G16" s="25"/>
      <c r="J16" s="2" t="s">
        <v>88</v>
      </c>
      <c r="K16" s="2" t="e">
        <f>VLOOKUP(J16,A5:A13,3,FALSE)</f>
        <v>#REF!</v>
      </c>
    </row>
    <row r="17" spans="10:11" x14ac:dyDescent="0.3">
      <c r="J17" s="2" t="s">
        <v>89</v>
      </c>
      <c r="K17" s="2"/>
    </row>
    <row r="18" spans="10:11" x14ac:dyDescent="0.3">
      <c r="J18" s="2" t="s">
        <v>90</v>
      </c>
      <c r="K18" s="2"/>
    </row>
    <row r="19" spans="10:11" x14ac:dyDescent="0.3">
      <c r="J19" s="2" t="s">
        <v>91</v>
      </c>
      <c r="K19" s="2"/>
    </row>
    <row r="20" spans="10:11" x14ac:dyDescent="0.3">
      <c r="J20" s="2" t="s">
        <v>92</v>
      </c>
      <c r="K20" s="2"/>
    </row>
    <row r="21" spans="10:11" x14ac:dyDescent="0.3">
      <c r="J21" s="2" t="s">
        <v>93</v>
      </c>
      <c r="K21" s="2"/>
    </row>
    <row r="22" spans="10:11" x14ac:dyDescent="0.3">
      <c r="J22" s="2" t="s">
        <v>94</v>
      </c>
      <c r="K22" s="2"/>
    </row>
    <row r="23" spans="10:11" x14ac:dyDescent="0.3">
      <c r="J23" s="2" t="s">
        <v>95</v>
      </c>
      <c r="K23" s="2"/>
    </row>
    <row r="24" spans="10:11" x14ac:dyDescent="0.3">
      <c r="J24" s="2" t="s">
        <v>96</v>
      </c>
      <c r="K24" s="2"/>
    </row>
  </sheetData>
  <mergeCells count="4">
    <mergeCell ref="G12:H12"/>
    <mergeCell ref="G7:H7"/>
    <mergeCell ref="I7:K7"/>
    <mergeCell ref="J12:K1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pivot table</vt:lpstr>
      <vt:lpstr>data analysis</vt:lpstr>
      <vt:lpstr>Sheet5</vt:lpstr>
      <vt:lpstr>pivot new data</vt:lpstr>
      <vt:lpstr>news data</vt:lpstr>
      <vt:lpstr>trading_raw_data2</vt:lpstr>
      <vt:lpstr>functions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2026-09-26T00:13:01Z</dcterms:modified>
</cp:coreProperties>
</file>