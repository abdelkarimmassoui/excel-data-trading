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0B84C63A-B678-4A02-9C74-7A7780E76810}" xr6:coauthVersionLast="47" xr6:coauthVersionMax="47" xr10:uidLastSave="{00000000-0000-0000-0000-000000000000}"/>
  <bookViews>
    <workbookView xWindow="-108" yWindow="-108" windowWidth="23256" windowHeight="12456" firstSheet="1" activeTab="2" xr2:uid="{29389193-7256-4448-99EA-708D1049F25F}"/>
  </bookViews>
  <sheets>
    <sheet name="Sheet1" sheetId="5" r:id="rId1"/>
    <sheet name="pivot table" sheetId="4" r:id="rId2"/>
    <sheet name="data analysis" sheetId="2" r:id="rId3"/>
    <sheet name="trading_raw_data2" sheetId="1" r:id="rId4"/>
    <sheet name="data cleaning " sheetId="3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5" i="2" l="1"/>
  <c r="D35" i="2"/>
  <c r="D38" i="2"/>
  <c r="C38" i="2"/>
  <c r="D37" i="2"/>
  <c r="C37" i="2"/>
  <c r="D36" i="2"/>
  <c r="C36" i="2"/>
  <c r="C35" i="2"/>
  <c r="X16" i="3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<sst xmlns="http://schemas.openxmlformats.org/spreadsheetml/2006/main" count="802" uniqueCount="83">
  <si>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</si>
  <si>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</si>
  <si>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</si>
  <si>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</si>
  <si>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</si>
  <si>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</si>
  <si>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</si>
  <si>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</si>
  <si>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</si>
  <si>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</si>
  <si>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</si>
  <si>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</si>
  <si>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</si>
  <si>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</si>
  <si>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</si>
  <si>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</si>
  <si>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</si>
  <si>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</si>
  <si>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</si>
  <si>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</si>
  <si>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</si>
  <si>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</si>
  <si>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</si>
  <si>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</si>
  <si>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</si>
  <si>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</si>
  <si>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</si>
  <si>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</si>
  <si>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</si>
  <si>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</si>
  <si>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</si>
  <si>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</si>
  <si>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</si>
  <si>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</si>
  <si>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</si>
  <si>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</si>
  <si>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</si>
  <si>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</si>
  <si>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</si>
  <si>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</si>
  <si>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</si>
  <si>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</si>
  <si>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</si>
  <si>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</si>
  <si>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</si>
  <si>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</si>
  <si>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</si>
  <si>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</si>
  <si>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</si>
  <si>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</si>
  <si>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</si>
  <si>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</si>
  <si>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</si>
  <si>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</si>
  <si>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</si>
  <si>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</si>
  <si>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</si>
  <si>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</si>
  <si>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</si>
  <si>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</si>
  <si>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</si>
  <si>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</si>
  <si>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</si>
  <si>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</si>
  <si>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</si>
  <si>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</si>
  <si>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</si>
  <si>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</si>
  <si>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</si>
  <si>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</si>
  <si>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</si>
  <si>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</si>
  <si>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Count of TradeID</t>
  </si>
  <si>
    <t>result column</t>
  </si>
  <si>
    <t>session rows</t>
  </si>
  <si>
    <t>GOOD</t>
  </si>
  <si>
    <t>REVIEW</t>
  </si>
  <si>
    <t>LONDON WIN RATE</t>
  </si>
  <si>
    <t>NEW YORK WIN RATE</t>
  </si>
  <si>
    <t>avg profit london</t>
  </si>
  <si>
    <t>avg profit new york</t>
  </si>
  <si>
    <t>avg  loss</t>
  </si>
  <si>
    <t>avg 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</si>
</sst>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1" fontId="0" fillId="33" borderId="10" xfId="0" applyNumberFormat="1" applyFill="1" applyBorder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numFmt numFmtId="1" formatCode="0"/>
    </dxf>
    <dxf>
      <fill>
        <patternFill patternType="solid">
          <bgColor rgb="FFFFFF00"/>
        </patternFill>
      </fill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session rows" colHeaderCaption="result column">
  <location ref="A3:D9" firstHeaderRow="1" firstDataRow="2" firstDataCol="1"/>
  <pivotFields count="11">
    <pivotField dataField="1"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Count of TradeID" fld="0" subtotal="count" baseField="2" baseItem="1"/>
  </dataFields>
  <formats count="1">
    <format dxfId="2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2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20">
      <calculatedColumnFormula>IF(OR(Table1[[#This Row],[R]]&gt;=2,Table1[[#This Row],[Profit]]&gt;500),"GOOD","REVIEW")</calculatedColumnFormula>
    </tableColumn>
    <tableColumn id="14" xr3:uid="{4778648E-2E5E-4C3F-BBFA-07AD84B520D7}" name="Profit per R" dataDxfId="19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17">
      <calculatedColumnFormula>TRIM(Table2[[#This Row],[Pair]])</calculatedColumnFormula>
    </tableColumn>
    <tableColumn id="4" xr3:uid="{8C11A028-E104-4984-B143-1E828A3E1EC5}" name="check trim" dataDxfId="16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15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14">
      <calculatedColumnFormula>VALUE(Table3[[#This Row],[text num]])</calculatedColumnFormula>
    </tableColumn>
    <tableColumn id="3" xr3:uid="{A32329F0-3CAE-4B77-9C4A-66E55F5E38EA}" name="check" dataDxfId="13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12" dataDxfId="11">
  <autoFilter ref="Q17:Q25" xr:uid="{9284F1F2-066B-4F54-888C-872719B32047}"/>
  <tableColumns count="1">
    <tableColumn id="1" xr3:uid="{B868BDD4-CA52-440D-A1EA-1585934AF042}" name="TradeID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75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75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76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76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75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75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75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76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76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76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76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76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76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76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75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75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75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76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75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75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76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75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76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76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76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76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76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76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76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76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76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76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76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76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76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75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75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75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76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76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76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76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75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76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76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76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76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76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76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76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76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76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76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75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76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75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D9"/>
  <sheetViews>
    <sheetView zoomScale="110" zoomScaleNormal="110" workbookViewId="0">
      <selection activeCell="B5" sqref="B5"/>
    </sheetView>
  </sheetViews>
  <sheetFormatPr defaultRowHeight="14.4" x14ac:dyDescent="0.3"/>
  <cols>
    <col min="1" max="1" width="15.109375" bestFit="1" customWidth="1"/>
    <col min="2" max="2" width="14.5546875" bestFit="1" customWidth="1"/>
    <col min="3" max="3" width="4.21875" bestFit="1" customWidth="1"/>
    <col min="4" max="5" width="10.6640625" bestFit="1" customWidth="1"/>
    <col min="6" max="6" width="4.21875" bestFit="1" customWidth="1"/>
    <col min="7" max="7" width="13.44140625" bestFit="1" customWidth="1"/>
    <col min="8" max="8" width="10.6640625" bestFit="1" customWidth="1"/>
    <col min="9" max="9" width="14.6640625" bestFit="1" customWidth="1"/>
    <col min="10" max="10" width="15.109375" bestFit="1" customWidth="1"/>
    <col min="11" max="11" width="14.6640625" bestFit="1" customWidth="1"/>
    <col min="12" max="12" width="23.77734375" bestFit="1" customWidth="1"/>
    <col min="13" max="13" width="23.21875" bestFit="1" customWidth="1"/>
    <col min="14" max="14" width="19.6640625" bestFit="1" customWidth="1"/>
    <col min="15" max="15" width="19.21875" bestFit="1" customWidth="1"/>
  </cols>
  <sheetData>
    <row r="3" spans="1:4" x14ac:dyDescent="0.3">
      <c r="A3" s="19" t="s">
        <v>72</v>
      </c>
      <c r="B3" s="19" t="s">
        <v>73</v>
      </c>
    </row>
    <row r="4" spans="1:4" x14ac:dyDescent="0.3">
      <c r="A4" s="19" t="s">
        <v>74</v>
      </c>
      <c r="B4" t="s">
        <v>17</v>
      </c>
      <c r="C4" t="s">
        <v>12</v>
      </c>
      <c r="D4" t="s">
        <v>71</v>
      </c>
    </row>
    <row r="5" spans="1:4" x14ac:dyDescent="0.3">
      <c r="A5" s="20" t="s">
        <v>9</v>
      </c>
      <c r="B5" s="22">
        <v>10</v>
      </c>
      <c r="C5" s="22">
        <v>12</v>
      </c>
      <c r="D5" s="22">
        <v>22</v>
      </c>
    </row>
    <row r="6" spans="1:4" x14ac:dyDescent="0.3">
      <c r="A6" s="20" t="s">
        <v>15</v>
      </c>
      <c r="B6" s="22">
        <v>10</v>
      </c>
      <c r="C6" s="22">
        <v>23</v>
      </c>
      <c r="D6" s="22">
        <v>33</v>
      </c>
    </row>
    <row r="7" spans="1:4" x14ac:dyDescent="0.3">
      <c r="A7" s="20" t="s">
        <v>13</v>
      </c>
      <c r="B7" s="22">
        <v>11</v>
      </c>
      <c r="C7" s="22">
        <v>16</v>
      </c>
      <c r="D7" s="22">
        <v>27</v>
      </c>
    </row>
    <row r="8" spans="1:4" x14ac:dyDescent="0.3">
      <c r="A8" s="20" t="s">
        <v>18</v>
      </c>
      <c r="B8" s="22">
        <v>10</v>
      </c>
      <c r="C8" s="22">
        <v>8</v>
      </c>
      <c r="D8" s="22">
        <v>18</v>
      </c>
    </row>
    <row r="9" spans="1:4" x14ac:dyDescent="0.3">
      <c r="A9" s="20" t="s">
        <v>71</v>
      </c>
      <c r="B9" s="21">
        <v>41</v>
      </c>
      <c r="C9" s="21">
        <v>59</v>
      </c>
      <c r="D9" s="21">
        <v>100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8"/>
  <sheetViews>
    <sheetView tabSelected="1" topLeftCell="A12" workbookViewId="0">
      <selection activeCell="J36" sqref="J36"/>
    </sheetView>
  </sheetViews>
  <sheetFormatPr defaultRowHeight="14.4" x14ac:dyDescent="0.3"/>
  <cols>
    <col min="2" max="2" width="28.88671875" customWidth="1"/>
    <col min="3" max="3" width="16.77734375" bestFit="1" customWidth="1"/>
    <col min="4" max="4" width="18.21875" bestFit="1" customWidth="1"/>
    <col min="5" max="5" width="14.109375" bestFit="1" customWidth="1"/>
    <col min="6" max="6" width="15.664062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  <row r="34" spans="2:8" x14ac:dyDescent="0.3">
      <c r="B34" s="3" t="s">
        <v>27</v>
      </c>
      <c r="C34" s="3" t="s">
        <v>77</v>
      </c>
      <c r="D34" s="3" t="s">
        <v>78</v>
      </c>
      <c r="E34" s="3" t="s">
        <v>79</v>
      </c>
      <c r="F34" s="3" t="s">
        <v>80</v>
      </c>
      <c r="G34" s="3" t="s">
        <v>81</v>
      </c>
      <c r="H34" s="3" t="s">
        <v>82</v>
      </c>
    </row>
    <row r="35" spans="2:8" x14ac:dyDescent="0.3">
      <c r="B35" s="2" t="s">
        <v>9</v>
      </c>
      <c r="C35" s="6">
        <f>9/14</f>
        <v>0.6428571428571429</v>
      </c>
      <c r="D35" s="6">
        <f>3/8</f>
        <v>0.375</v>
      </c>
      <c r="E35" s="23">
        <v>141.07142857142858</v>
      </c>
      <c r="F35" s="23">
        <v>115.625</v>
      </c>
      <c r="G35" s="6">
        <f>10/22</f>
        <v>0.45454545454545453</v>
      </c>
      <c r="H35" s="6">
        <v>0.54545454545454541</v>
      </c>
    </row>
    <row r="36" spans="2:8" x14ac:dyDescent="0.3">
      <c r="B36" s="2" t="s">
        <v>15</v>
      </c>
      <c r="C36" s="6">
        <f>9/14</f>
        <v>0.6428571428571429</v>
      </c>
      <c r="D36" s="6">
        <f>14/19</f>
        <v>0.73684210526315785</v>
      </c>
      <c r="E36" s="23">
        <v>219.64285714285714</v>
      </c>
      <c r="F36" s="23">
        <v>197.36842105263159</v>
      </c>
      <c r="G36" s="6"/>
      <c r="H36" s="6"/>
    </row>
    <row r="37" spans="2:8" x14ac:dyDescent="0.3">
      <c r="B37" s="2" t="s">
        <v>13</v>
      </c>
      <c r="C37" s="6">
        <f>10/15</f>
        <v>0.66666666666666663</v>
      </c>
      <c r="D37" s="6">
        <f>6/12</f>
        <v>0.5</v>
      </c>
      <c r="E37" s="23">
        <v>85</v>
      </c>
      <c r="F37" s="23">
        <v>54.166666666666664</v>
      </c>
      <c r="G37" s="6"/>
      <c r="H37" s="6"/>
    </row>
    <row r="38" spans="2:8" x14ac:dyDescent="0.3">
      <c r="B38" s="2" t="s">
        <v>18</v>
      </c>
      <c r="C38" s="6">
        <f>5/13</f>
        <v>0.38461538461538464</v>
      </c>
      <c r="D38" s="6">
        <f>3/5</f>
        <v>0.6</v>
      </c>
      <c r="E38" s="23">
        <v>9.615384615384615</v>
      </c>
      <c r="F38" s="23">
        <v>90</v>
      </c>
      <c r="G38" s="6"/>
      <c r="H38" s="6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N25" sqref="N2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4" t="s">
        <v>63</v>
      </c>
      <c r="O6" s="24"/>
      <c r="P6" s="24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9" priority="2"/>
  </conditionalFormatting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pivot table</vt:lpstr>
      <vt:lpstr>data analysis</vt:lpstr>
      <vt:lpstr>trading_raw_data2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2026-09-22T15:58:52Z</dcterms:modified>
</cp:coreProperties>
</file>