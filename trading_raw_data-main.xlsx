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078B4F19-21B6-4A49-BB69-A669832D7B63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2" l="1"/>
  <c r="D17" i="2"/>
  <c r="D18" i="2"/>
  <c r="D15" i="2"/>
  <c r="D12" i="2"/>
  <c r="D11" i="2"/>
  <c r="D10" i="2"/>
  <c r="D9" i="2"/>
  <c r="D8" i="2"/>
  <c r="D7" i="2"/>
  <c r="D6" i="2"/>
  <c r="D5" i="2"/>
</calcChain>
</file>

<file path=xl/sharedStrings.xml><?xml version="1.0" encoding="utf-8"?>
<sst xmlns="http://schemas.openxmlformats.org/spreadsheetml/2006/main" count="427" uniqueCount="30">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</sst>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L14" sqref="L14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H18"/>
  <sheetViews>
    <sheetView tabSelected="1" workbookViewId="0">
      <selection activeCell="E15" sqref="E15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0.77734375" bestFit="1" customWidth="1"/>
    <col min="7" max="7" width="11.5546875" customWidth="1"/>
    <col min="8" max="8" width="11.77734375" customWidth="1"/>
  </cols>
  <sheetData>
    <row r="5" spans="3:8" x14ac:dyDescent="0.3">
      <c r="C5" s="3" t="s">
        <v>19</v>
      </c>
      <c r="D5" s="2">
        <f>COUNT(Table1[TradeID])</f>
        <v>100</v>
      </c>
    </row>
    <row r="6" spans="3:8" x14ac:dyDescent="0.3">
      <c r="C6" s="3" t="s">
        <v>20</v>
      </c>
      <c r="D6" s="2">
        <f>SUM(Table1[Profit])</f>
        <v>12225</v>
      </c>
    </row>
    <row r="7" spans="3:8" x14ac:dyDescent="0.3">
      <c r="C7" s="3" t="s">
        <v>21</v>
      </c>
      <c r="D7" s="2">
        <f>AVERAGE(Table1[Profit])</f>
        <v>122.25</v>
      </c>
    </row>
    <row r="8" spans="3:8" x14ac:dyDescent="0.3">
      <c r="C8" s="3" t="s">
        <v>22</v>
      </c>
      <c r="D8" s="2">
        <f>MAX(Table1[Profit])</f>
        <v>750</v>
      </c>
    </row>
    <row r="9" spans="3:8" x14ac:dyDescent="0.3">
      <c r="C9" s="3" t="s">
        <v>23</v>
      </c>
      <c r="D9" s="2">
        <f>MIN(Table1[Profit])</f>
        <v>-375</v>
      </c>
    </row>
    <row r="10" spans="3:8" x14ac:dyDescent="0.3">
      <c r="C10" s="3" t="s">
        <v>24</v>
      </c>
      <c r="D10" s="2">
        <f>COUNTIF(Table1[Result],"Win")</f>
        <v>59</v>
      </c>
    </row>
    <row r="11" spans="3:8" x14ac:dyDescent="0.3">
      <c r="C11" s="3" t="s">
        <v>25</v>
      </c>
      <c r="D11" s="2">
        <f>COUNTIF(Table1[Result],"Loss")</f>
        <v>41</v>
      </c>
    </row>
    <row r="12" spans="3:8" x14ac:dyDescent="0.3">
      <c r="C12" s="3" t="s">
        <v>26</v>
      </c>
      <c r="D12" s="2">
        <f>D10/D5</f>
        <v>0.59</v>
      </c>
    </row>
    <row r="14" spans="3:8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</row>
    <row r="15" spans="3:8" x14ac:dyDescent="0.3">
      <c r="C15" s="3" t="s">
        <v>9</v>
      </c>
      <c r="D15" s="2">
        <f>COUNTIF(Table1[Pair],C15)</f>
        <v>22</v>
      </c>
      <c r="E15" s="2"/>
      <c r="F15" s="2"/>
      <c r="G15" s="2"/>
      <c r="H15" s="2"/>
    </row>
    <row r="16" spans="3:8" x14ac:dyDescent="0.3">
      <c r="C16" s="3" t="s">
        <v>15</v>
      </c>
      <c r="D16" s="2">
        <f>COUNTIF(Table1[Pair],C16)</f>
        <v>33</v>
      </c>
      <c r="E16" s="2"/>
      <c r="F16" s="2"/>
      <c r="G16" s="2"/>
      <c r="H16" s="2"/>
    </row>
    <row r="17" spans="3:8" x14ac:dyDescent="0.3">
      <c r="C17" s="3" t="s">
        <v>18</v>
      </c>
      <c r="D17" s="2">
        <f>COUNTIF(Table1[Pair],C17)</f>
        <v>18</v>
      </c>
      <c r="E17" s="2"/>
      <c r="F17" s="2"/>
      <c r="G17" s="2"/>
      <c r="H17" s="2"/>
    </row>
    <row r="18" spans="3:8" x14ac:dyDescent="0.3">
      <c r="C18" s="3" t="s">
        <v>13</v>
      </c>
      <c r="D18" s="2">
        <f>COUNTIF(Table1[Pair],C18)</f>
        <v>27</v>
      </c>
      <c r="E18" s="2"/>
      <c r="F18" s="2"/>
      <c r="G18" s="2"/>
      <c r="H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2026-09-10T18:21:08Z</dcterms:modified>
</cp:coreProperties>
</file>